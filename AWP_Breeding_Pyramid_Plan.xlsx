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1_GP_Supply" sheetId="1" state="visible" r:id="rId1"/>
    <sheet xmlns:r="http://schemas.openxmlformats.org/officeDocument/2006/relationships" name="Tab2_GP_Hatchery" sheetId="2" state="visible" r:id="rId2"/>
    <sheet xmlns:r="http://schemas.openxmlformats.org/officeDocument/2006/relationships" name="Tab3_PS_Plan" sheetId="3" state="visible" r:id="rId3"/>
    <sheet xmlns:r="http://schemas.openxmlformats.org/officeDocument/2006/relationships" name="Tab4_Cobb_PS_Hatch" sheetId="4" state="visible" r:id="rId4"/>
    <sheet xmlns:r="http://schemas.openxmlformats.org/officeDocument/2006/relationships" name="Tab5_Ross_PS_Hatch" sheetId="5" state="visible" r:id="rId5"/>
    <sheet xmlns:r="http://schemas.openxmlformats.org/officeDocument/2006/relationships" name="Tab6_Summary" sheetId="6" state="visible" r:id="rId6"/>
    <sheet xmlns:r="http://schemas.openxmlformats.org/officeDocument/2006/relationships" name="Params" sheetId="7" state="hidden" r:id="rId7"/>
  </sheets>
  <definedNames>
    <definedName name="param_PlanStartDate">'Params'!$B$5</definedName>
    <definedName name="param_PlanningWeeks">'Params'!$B$6</definedName>
    <definedName name="param_UseLineDetail">'Params'!$B$7</definedName>
    <definedName name="param_GP_RearingWeeks">'Params'!$B$9</definedName>
    <definedName name="param_GP_PreLayWeeks">'Params'!$B$10</definedName>
    <definedName name="param_GP_LayingWeeks">'Params'!$B$11</definedName>
    <definedName name="param_GP_RearingMortality">'Params'!$B$12</definedName>
    <definedName name="param_GP_PreLayMortality">'Params'!$B$13</definedName>
    <definedName name="param_GP_LayMortWeekly">'Params'!$B$14</definedName>
    <definedName name="param_GP_HDP">'Params'!$B$15</definedName>
    <definedName name="param_GP_SettableRatio">'Params'!$B$16</definedName>
    <definedName name="param_GP_HatchRate">'Params'!$B$17</definedName>
    <definedName name="param_GP_MaleByproductPct">'Params'!$B$18</definedName>
    <definedName name="param_GPHatchery_Capacity">'Params'!$B$19</definedName>
    <definedName name="param_PS_RearingWeeks">'Params'!$B$21</definedName>
    <definedName name="param_PS_PreLayWeeks">'Params'!$B$22</definedName>
    <definedName name="param_PS_LayingWeeks">'Params'!$B$23</definedName>
    <definedName name="param_PS_RearingMortality">'Params'!$B$24</definedName>
    <definedName name="param_PS_PreLayMortality">'Params'!$B$25</definedName>
    <definedName name="param_PS_LayMortWeekly">'Params'!$B$26</definedName>
    <definedName name="param_Plant1230_Capacity">'Params'!$B$27</definedName>
    <definedName name="param_Plant1220_Capacity">'Params'!$B$28</definedName>
    <definedName name="param_PS_CobbHDP">'Params'!$B$30</definedName>
    <definedName name="param_PS_CobbSettableRatio">'Params'!$B$31</definedName>
    <definedName name="param_PS_CobbHatchRate">'Params'!$B$32</definedName>
    <definedName name="param_PS_RossHDP">'Params'!$B$34</definedName>
    <definedName name="param_PS_RossSettableRatio">'Params'!$B$35</definedName>
    <definedName name="param_PS_RossHatchRate">'Params'!$B$36</definedName>
    <definedName name="param_RossPO_LeadWeeks">'Params'!$B$37</definedName>
    <definedName name="param_IncubationDays">'Params'!$B$39</definedName>
    <definedName name="param_PSHatchery_Capacity">'Params'!$B$40</definedName>
    <definedName name="GP_SettableEggs">'Tab1_GP_Supply'!$I$17:$BH$17</definedName>
    <definedName name="GP_WeekDates">'Tab1_GP_Supply'!$I$4:$BH$4</definedName>
    <definedName name="Cobb_PS_DOC_FromGP">'Tab2_GP_Hatchery'!$I$10:$BH$10</definedName>
    <definedName name="GP_ByproductDOC">'Tab2_GP_Hatchery'!$I$11:$BH$11</definedName>
    <definedName name="Cobb_PS_Eggs">'Tab3_PS_Plan'!$K$13:$BJ$13</definedName>
    <definedName name="Ross_PS_Eggs">'Tab3_PS_Plan'!$K$25:$BJ$25</definedName>
    <definedName name="Cobb_BroilerDOC">'Tab4_Cobb_PS_Hatch'!$I$9:$BH$9</definedName>
    <definedName name="Ross_BroilerDOC">'Tab5_Ross_PS_Hatch'!$I$9:$BH$9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DD-MMM-YY"/>
    <numFmt numFmtId="167" formatCode="#,##0;[Red]-#,##0"/>
  </numFmts>
  <fonts count="3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888888"/>
      <sz val="8"/>
    </font>
    <font>
      <name val="Calibri"/>
      <b val="1"/>
      <color rgb="00FFFFFF"/>
      <sz val="9"/>
    </font>
    <font>
      <name val="Calibri"/>
      <b val="1"/>
      <color rgb="00E0EAFF"/>
      <sz val="9"/>
    </font>
    <font>
      <name val="Consolas"/>
      <b val="1"/>
      <color rgb="001a2a6c"/>
      <sz val="8"/>
    </font>
    <font>
      <name val="Calibri"/>
      <b val="1"/>
      <color rgb="00002060"/>
      <sz val="10"/>
    </font>
    <font>
      <name val="Calibri"/>
      <i val="1"/>
      <color rgb="00505050"/>
      <sz val="8"/>
    </font>
    <font>
      <name val="Calibri"/>
      <b val="1"/>
      <color rgb="00047836"/>
      <sz val="9"/>
    </font>
    <font>
      <name val="Calibri"/>
      <b val="1"/>
      <color rgb="00C00000"/>
      <sz val="9"/>
    </font>
    <font>
      <name val="Calibri"/>
      <color rgb="00606060"/>
      <sz val="9"/>
    </font>
    <font>
      <name val="Calibri"/>
      <b val="1"/>
      <color rgb="00808080"/>
      <sz val="9"/>
    </font>
    <font>
      <name val="Calibri"/>
      <i val="1"/>
      <color rgb="00002060"/>
      <sz val="9"/>
    </font>
    <font>
      <name val="Calibri"/>
      <b val="1"/>
      <color rgb="00FFFFFF"/>
      <sz val="8"/>
    </font>
    <font>
      <name val="Calibri"/>
      <color rgb="00CCE0FF"/>
      <sz val="8"/>
    </font>
    <font>
      <name val="Calibri"/>
      <b val="1"/>
      <color rgb="00E0F0FF"/>
      <sz val="9"/>
    </font>
    <font>
      <name val="Calibri"/>
      <color rgb="00404040"/>
      <sz val="10"/>
    </font>
    <font>
      <name val="Calibri"/>
      <color rgb="00002060"/>
      <sz val="10"/>
    </font>
    <font>
      <name val="Calibri"/>
      <b val="1"/>
      <color rgb="006B4D00"/>
      <sz val="10"/>
    </font>
    <font>
      <name val="Calibri"/>
      <color rgb="006B4D00"/>
      <sz val="10"/>
    </font>
    <font>
      <name val="Calibri"/>
      <b val="1"/>
      <color rgb="00FFFFFF"/>
      <sz val="10"/>
    </font>
    <font>
      <name val="Calibri"/>
      <b val="1"/>
      <color rgb="0099BBFF"/>
      <sz val="9"/>
    </font>
    <font>
      <name val="Calibri"/>
      <i val="1"/>
      <color rgb="007B0000"/>
      <sz val="9"/>
    </font>
    <font>
      <name val="Calibri"/>
      <b val="1"/>
      <color rgb="001A1A1A"/>
      <sz val="9"/>
    </font>
    <font>
      <name val="Calibri"/>
      <i val="1"/>
      <color rgb="00404040"/>
      <sz val="8"/>
    </font>
    <font>
      <name val="Calibri"/>
      <b val="1"/>
      <color rgb="00047836"/>
      <sz val="10"/>
    </font>
    <font>
      <name val="Calibri"/>
      <b val="1"/>
      <color rgb="008B5E00"/>
      <sz val="10"/>
    </font>
    <font>
      <name val="Calibri"/>
      <b val="1"/>
      <color rgb="00002060"/>
      <sz val="9"/>
    </font>
    <font>
      <name val="Calibri"/>
      <b val="1"/>
      <color rgb="00002020"/>
      <sz val="9"/>
    </font>
    <font>
      <b val="1"/>
      <color rgb="00505050"/>
      <sz val="14"/>
    </font>
    <font>
      <name val="Calibri"/>
      <b val="1"/>
      <color rgb="00002060"/>
      <sz val="8"/>
    </font>
    <font>
      <name val="Calibri"/>
      <color rgb="00002060"/>
      <sz val="9"/>
    </font>
    <font>
      <name val="Calibri"/>
      <b val="1"/>
      <color rgb="00FFFFFF"/>
      <sz val="11"/>
    </font>
    <font>
      <name val="Calibri"/>
      <color rgb="00404040"/>
      <sz val="9"/>
    </font>
    <font>
      <name val="Calibri"/>
      <i val="1"/>
      <color rgb="00606060"/>
      <sz val="8"/>
    </font>
  </fonts>
  <fills count="33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EEF0F8"/>
      </patternFill>
    </fill>
    <fill>
      <patternFill patternType="solid">
        <fgColor rgb="001A3560"/>
      </patternFill>
    </fill>
    <fill>
      <patternFill patternType="solid">
        <fgColor rgb="00FFFACD"/>
      </patternFill>
    </fill>
    <fill>
      <patternFill patternType="solid">
        <fgColor rgb="00F2F2F2"/>
      </patternFill>
    </fill>
    <fill>
      <patternFill patternType="solid">
        <fgColor rgb="001A3A6B"/>
      </patternFill>
    </fill>
    <fill>
      <patternFill patternType="solid">
        <fgColor rgb="00003580"/>
      </patternFill>
    </fill>
    <fill>
      <patternFill patternType="solid">
        <fgColor rgb="00DCE6F1"/>
      </patternFill>
    </fill>
    <fill>
      <patternFill patternType="solid">
        <fgColor rgb="00F8F9FF"/>
      </patternFill>
    </fill>
    <fill>
      <patternFill patternType="solid">
        <fgColor rgb="00FFF8DC"/>
      </patternFill>
    </fill>
    <fill>
      <patternFill patternType="solid">
        <fgColor rgb="001A5C38"/>
      </patternFill>
    </fill>
    <fill>
      <patternFill patternType="solid">
        <fgColor rgb="000D4D2A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047836"/>
      </patternFill>
    </fill>
    <fill>
      <patternFill patternType="solid">
        <fgColor rgb="00003060"/>
      </patternFill>
    </fill>
    <fill>
      <patternFill patternType="solid">
        <fgColor rgb="00C49A1A"/>
      </patternFill>
    </fill>
    <fill>
      <patternFill patternType="solid">
        <fgColor rgb="006B4D00"/>
      </patternFill>
    </fill>
    <fill>
      <patternFill patternType="solid">
        <fgColor rgb="00FFF0B0"/>
      </patternFill>
    </fill>
    <fill>
      <patternFill patternType="solid">
        <fgColor rgb="00004A99"/>
      </patternFill>
    </fill>
    <fill>
      <patternFill patternType="solid">
        <fgColor rgb="00005EBB"/>
      </patternFill>
    </fill>
    <fill>
      <patternFill patternType="solid">
        <fgColor rgb="00007ACC"/>
      </patternFill>
    </fill>
    <fill>
      <patternFill patternType="solid">
        <fgColor rgb="00028040"/>
      </patternFill>
    </fill>
    <fill>
      <patternFill patternType="solid">
        <fgColor rgb="00039050"/>
      </patternFill>
    </fill>
    <fill>
      <patternFill patternType="solid">
        <fgColor rgb="0003A85E"/>
      </patternFill>
    </fill>
    <fill>
      <patternFill patternType="solid">
        <fgColor rgb="008B6914"/>
      </patternFill>
    </fill>
    <fill>
      <patternFill patternType="solid">
        <fgColor rgb="00B8890A"/>
      </patternFill>
    </fill>
    <fill>
      <patternFill patternType="solid">
        <fgColor rgb="00D4AA2A"/>
      </patternFill>
    </fill>
    <fill>
      <patternFill patternType="solid">
        <fgColor rgb="00EEF4FF"/>
      </patternFill>
    </fill>
    <fill>
      <patternFill patternType="solid">
        <fgColor rgb="00D5E8D4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medium">
        <color rgb="00505050"/>
      </left>
      <right style="medium">
        <color rgb="00505050"/>
      </right>
      <top style="medium">
        <color rgb="00505050"/>
      </top>
      <bottom style="medium">
        <color rgb="00505050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2" fillId="0" borderId="0" pivotButton="0" quotePrefix="0" xfId="0"/>
    <xf numFmtId="0" fontId="2" fillId="3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166" fontId="1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4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165" fontId="16" fillId="6" borderId="1" applyAlignment="1" pivotButton="0" quotePrefix="0" xfId="0">
      <alignment horizontal="center" vertical="center"/>
    </xf>
    <xf numFmtId="3" fontId="16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left" vertical="center"/>
    </xf>
    <xf numFmtId="3" fontId="0" fillId="11" borderId="1" applyAlignment="1" pivotButton="0" quotePrefix="0" xfId="0">
      <alignment horizontal="center" vertical="center"/>
    </xf>
    <xf numFmtId="0" fontId="0" fillId="2" borderId="0" pivotButton="0" quotePrefix="0" xfId="0"/>
    <xf numFmtId="0" fontId="20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3" fontId="21" fillId="4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167" fontId="0" fillId="0" borderId="1" applyAlignment="1" pivotButton="0" quotePrefix="0" xfId="0">
      <alignment horizontal="center" vertical="center"/>
    </xf>
    <xf numFmtId="0" fontId="22" fillId="0" borderId="0" pivotButton="0" quotePrefix="0" xfId="0"/>
    <xf numFmtId="166" fontId="3" fillId="8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left" vertical="center"/>
    </xf>
    <xf numFmtId="0" fontId="24" fillId="5" borderId="1" applyAlignment="1" pivotButton="0" quotePrefix="0" xfId="0">
      <alignment horizontal="left" vertical="center"/>
    </xf>
    <xf numFmtId="9" fontId="0" fillId="6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/>
    </xf>
    <xf numFmtId="0" fontId="24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23" fillId="9" borderId="1" applyAlignment="1" pivotButton="0" quotePrefix="0" xfId="0">
      <alignment horizontal="left" vertical="center"/>
    </xf>
    <xf numFmtId="0" fontId="24" fillId="9" borderId="1" applyAlignment="1" pivotButton="0" quotePrefix="0" xfId="0">
      <alignment horizontal="left" vertical="center"/>
    </xf>
    <xf numFmtId="3" fontId="0" fillId="9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left" vertical="center"/>
    </xf>
    <xf numFmtId="0" fontId="24" fillId="15" borderId="1" applyAlignment="1" pivotButton="0" quotePrefix="0" xfId="0">
      <alignment horizontal="left" vertical="center"/>
    </xf>
    <xf numFmtId="3" fontId="0" fillId="15" borderId="1" applyAlignment="1" pivotButton="0" quotePrefix="0" xfId="0">
      <alignment horizontal="center" vertical="center"/>
    </xf>
    <xf numFmtId="0" fontId="23" fillId="16" borderId="1" applyAlignment="1" pivotButton="0" quotePrefix="0" xfId="0">
      <alignment horizontal="left" vertical="center"/>
    </xf>
    <xf numFmtId="0" fontId="24" fillId="16" borderId="1" applyAlignment="1" pivotButton="0" quotePrefix="0" xfId="0">
      <alignment horizontal="left" vertical="center"/>
    </xf>
    <xf numFmtId="3" fontId="0" fillId="16" borderId="1" applyAlignment="1" pivotButton="0" quotePrefix="0" xfId="0">
      <alignment horizontal="center" vertical="center"/>
    </xf>
    <xf numFmtId="0" fontId="20" fillId="17" borderId="0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166" fontId="13" fillId="2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3" fontId="3" fillId="17" borderId="1" applyAlignment="1" pivotButton="0" quotePrefix="0" xfId="0">
      <alignment horizontal="center" vertical="center"/>
    </xf>
    <xf numFmtId="0" fontId="6" fillId="19" borderId="0" applyAlignment="1" pivotButton="0" quotePrefix="0" xfId="0">
      <alignment horizontal="left" vertical="center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left" vertical="center"/>
    </xf>
    <xf numFmtId="165" fontId="16" fillId="21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27" fillId="19" borderId="1" applyAlignment="1" pivotButton="0" quotePrefix="0" xfId="0">
      <alignment horizontal="left" vertical="center"/>
    </xf>
    <xf numFmtId="3" fontId="27" fillId="19" borderId="1" applyAlignment="1" pivotButton="0" quotePrefix="0" xfId="0">
      <alignment horizontal="center" vertical="center"/>
    </xf>
    <xf numFmtId="0" fontId="28" fillId="17" borderId="1" applyAlignment="1" pivotButton="0" quotePrefix="0" xfId="0">
      <alignment horizontal="left" vertical="center"/>
    </xf>
    <xf numFmtId="0" fontId="28" fillId="19" borderId="1" applyAlignment="1" pivotButton="0" quotePrefix="0" xfId="0">
      <alignment horizontal="left" vertical="center"/>
    </xf>
    <xf numFmtId="3" fontId="0" fillId="14" borderId="1" applyAlignment="1" pivotButton="0" quotePrefix="0" xfId="0">
      <alignment horizontal="center" vertical="center"/>
    </xf>
    <xf numFmtId="166" fontId="3" fillId="17" borderId="1" applyAlignment="1" pivotButton="0" quotePrefix="0" xfId="0">
      <alignment horizontal="center" vertical="center" wrapText="1"/>
    </xf>
    <xf numFmtId="0" fontId="23" fillId="14" borderId="1" applyAlignment="1" pivotButton="0" quotePrefix="0" xfId="0">
      <alignment horizontal="left" vertical="center"/>
    </xf>
    <xf numFmtId="0" fontId="24" fillId="17" borderId="1" applyAlignment="1" pivotButton="0" quotePrefix="0" xfId="0">
      <alignment horizontal="left" vertical="center"/>
    </xf>
    <xf numFmtId="3" fontId="0" fillId="17" borderId="1" applyAlignment="1" pivotButton="0" quotePrefix="0" xfId="0">
      <alignment horizontal="center" vertical="center"/>
    </xf>
    <xf numFmtId="166" fontId="27" fillId="19" borderId="1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left" vertical="center"/>
    </xf>
    <xf numFmtId="3" fontId="0" fillId="19" borderId="1" applyAlignment="1" pivotButton="0" quotePrefix="0" xfId="0">
      <alignment horizontal="center" vertical="center"/>
    </xf>
    <xf numFmtId="0" fontId="20" fillId="17" borderId="6" applyAlignment="1" pivotButton="0" quotePrefix="0" xfId="0">
      <alignment horizontal="center" vertical="center"/>
    </xf>
    <xf numFmtId="0" fontId="6" fillId="19" borderId="6" applyAlignment="1" pivotButton="0" quotePrefix="0" xfId="0">
      <alignment horizontal="center" vertical="center"/>
    </xf>
    <xf numFmtId="0" fontId="13" fillId="8" borderId="6" applyAlignment="1" pivotButton="0" quotePrefix="0" xfId="0">
      <alignment horizontal="center" vertical="center" wrapText="1"/>
    </xf>
    <xf numFmtId="0" fontId="13" fillId="20" borderId="6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13" fillId="22" borderId="6" applyAlignment="1" pivotButton="0" quotePrefix="0" xfId="0">
      <alignment horizontal="center" vertical="center" wrapText="1"/>
    </xf>
    <xf numFmtId="0" fontId="13" fillId="28" borderId="6" applyAlignment="1" pivotButton="0" quotePrefix="0" xfId="0">
      <alignment horizontal="center" vertical="center" wrapText="1"/>
    </xf>
    <xf numFmtId="0" fontId="13" fillId="23" borderId="6" applyAlignment="1" pivotButton="0" quotePrefix="0" xfId="0">
      <alignment horizontal="center" vertical="center" wrapText="1"/>
    </xf>
    <xf numFmtId="0" fontId="13" fillId="24" borderId="6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13" fillId="17" borderId="6" applyAlignment="1" pivotButton="0" quotePrefix="0" xfId="0">
      <alignment horizontal="center" vertical="center" wrapText="1"/>
    </xf>
    <xf numFmtId="0" fontId="30" fillId="19" borderId="6" applyAlignment="1" pivotButton="0" quotePrefix="0" xfId="0">
      <alignment horizontal="center" vertical="center" wrapText="1"/>
    </xf>
    <xf numFmtId="0" fontId="13" fillId="25" borderId="6" applyAlignment="1" pivotButton="0" quotePrefix="0" xfId="0">
      <alignment horizontal="center" vertical="center" wrapText="1"/>
    </xf>
    <xf numFmtId="0" fontId="13" fillId="29" borderId="6" applyAlignment="1" pivotButton="0" quotePrefix="0" xfId="0">
      <alignment horizontal="center" vertical="center" wrapText="1"/>
    </xf>
    <xf numFmtId="0" fontId="13" fillId="26" borderId="6" applyAlignment="1" pivotButton="0" quotePrefix="0" xfId="0">
      <alignment horizontal="center" vertical="center" wrapText="1"/>
    </xf>
    <xf numFmtId="0" fontId="13" fillId="27" borderId="6" applyAlignment="1" pivotButton="0" quotePrefix="0" xfId="0">
      <alignment horizontal="center" vertical="center" wrapText="1"/>
    </xf>
    <xf numFmtId="0" fontId="30" fillId="30" borderId="6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31" fillId="31" borderId="6" applyAlignment="1" pivotButton="0" quotePrefix="0" xfId="0">
      <alignment horizontal="left" vertical="top" wrapText="1"/>
    </xf>
    <xf numFmtId="0" fontId="32" fillId="17" borderId="6" applyAlignment="1" pivotButton="0" quotePrefix="0" xfId="0">
      <alignment horizontal="center" vertical="center"/>
    </xf>
    <xf numFmtId="0" fontId="32" fillId="2" borderId="0" applyAlignment="1" pivotButton="0" quotePrefix="0" xfId="0">
      <alignment horizontal="left" vertical="center"/>
    </xf>
    <xf numFmtId="166" fontId="3" fillId="18" borderId="1" applyAlignment="1" pivotButton="0" quotePrefix="0" xfId="0">
      <alignment horizontal="center" vertical="center" wrapText="1"/>
    </xf>
    <xf numFmtId="0" fontId="32" fillId="2" borderId="1" applyAlignment="1" pivotButton="0" quotePrefix="0" xfId="0">
      <alignment horizontal="center" vertical="center"/>
    </xf>
    <xf numFmtId="0" fontId="33" fillId="5" borderId="1" applyAlignment="1" pivotButton="0" quotePrefix="0" xfId="0">
      <alignment horizontal="center" vertical="center"/>
    </xf>
    <xf numFmtId="0" fontId="34" fillId="5" borderId="1" applyAlignment="1" pivotButton="0" quotePrefix="0" xfId="0">
      <alignment horizontal="left" vertical="center"/>
    </xf>
    <xf numFmtId="0" fontId="33" fillId="9" borderId="1" applyAlignment="1" pivotButton="0" quotePrefix="0" xfId="0">
      <alignment horizontal="center" vertical="center"/>
    </xf>
    <xf numFmtId="0" fontId="34" fillId="9" borderId="1" applyAlignment="1" pivotButton="0" quotePrefix="0" xfId="0">
      <alignment horizontal="left" vertical="center"/>
    </xf>
    <xf numFmtId="0" fontId="33" fillId="15" borderId="1" applyAlignment="1" pivotButton="0" quotePrefix="0" xfId="0">
      <alignment horizontal="center" vertical="center"/>
    </xf>
    <xf numFmtId="0" fontId="34" fillId="15" borderId="1" applyAlignment="1" pivotButton="0" quotePrefix="0" xfId="0">
      <alignment horizontal="left" vertical="center"/>
    </xf>
    <xf numFmtId="0" fontId="33" fillId="16" borderId="1" applyAlignment="1" pivotButton="0" quotePrefix="0" xfId="0">
      <alignment horizontal="center" vertical="center"/>
    </xf>
    <xf numFmtId="0" fontId="34" fillId="16" borderId="1" applyAlignment="1" pivotButton="0" quotePrefix="0" xfId="0">
      <alignment horizontal="left" vertical="center"/>
    </xf>
    <xf numFmtId="0" fontId="23" fillId="32" borderId="1" applyAlignment="1" pivotButton="0" quotePrefix="0" xfId="0">
      <alignment horizontal="left" vertical="center"/>
    </xf>
    <xf numFmtId="0" fontId="33" fillId="32" borderId="1" applyAlignment="1" pivotButton="0" quotePrefix="0" xfId="0">
      <alignment horizontal="center" vertical="center"/>
    </xf>
    <xf numFmtId="0" fontId="34" fillId="32" borderId="1" applyAlignment="1" pivotButton="0" quotePrefix="0" xfId="0">
      <alignment horizontal="left" vertical="center"/>
    </xf>
    <xf numFmtId="3" fontId="0" fillId="32" borderId="1" applyAlignment="1" pivotButton="0" quotePrefix="0" xfId="0">
      <alignment horizontal="center" vertical="center"/>
    </xf>
    <xf numFmtId="0" fontId="33" fillId="14" borderId="1" applyAlignment="1" pivotButton="0" quotePrefix="0" xfId="0">
      <alignment horizontal="center" vertical="center"/>
    </xf>
    <xf numFmtId="0" fontId="34" fillId="14" borderId="1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F2F2F2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2EFDA"/>
        </patternFill>
      </fill>
    </dxf>
    <dxf>
      <font>
        <b val="1"/>
        <color rgb="00C00000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Broiler DOC — Weekly Supply vs. Target</a:t>
            </a:r>
          </a:p>
        </rich>
      </tx>
    </title>
    <plotArea>
      <barChart>
        <barDir val="col"/>
        <grouping val="stacked"/>
        <ser>'Tab6_Summary'!$E$41:$BD$41</ser>
        <ser>'Tab6_Summary'!$E$42:$BD$42</ser>
        <ser>'Tab6_Summary'!$E$43:$BD$43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DOC (head count)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pane xSplit="8" ySplit="5" topLeftCell="I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2" customWidth="1" min="4" max="4"/>
    <col width="14" customWidth="1" min="5" max="5"/>
    <col width="14" customWidth="1" min="6" max="6"/>
    <col width="18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</cols>
  <sheetData>
    <row r="1" ht="26" customHeight="1">
      <c r="A1" s="1" t="inlineStr">
        <is>
          <t>TAB 1 — COBB GP SUPPLY PLAN  |  Breed: Cobb-500  |  Plants: GP Rearing Farm + GP Laying Farm  |  Planning: 52 Weeks</t>
        </is>
      </c>
    </row>
    <row r="2" ht="14" customHeight="1">
      <c r="A2" s="2" t="inlineStr">
        <is>
          <t>GP Lines: F-D | M-C | F-B | M-A  ·  GP Laying starts at param_GP_LayingWeeks after placement  ·  Output feeds Tab 2 GP Hatchery</t>
        </is>
      </c>
    </row>
    <row r="3" ht="13" customHeight="1">
      <c r="A3" s="3" t="inlineStr">
        <is>
          <t>[AR: TBD — خطة إمداد GP للكوب / Cobb GP Supply Plan]</t>
        </is>
      </c>
    </row>
    <row r="4" ht="28" customHeight="1">
      <c r="A4" s="4" t="inlineStr">
        <is>
          <t>Batch #</t>
        </is>
      </c>
      <c r="B4" s="4" t="inlineStr">
        <is>
          <t>GP Line</t>
        </is>
      </c>
      <c r="C4" s="4" t="inlineStr">
        <is>
          <t>Placement Date
(GP Rearing Farm)</t>
        </is>
      </c>
      <c r="D4" s="4" t="inlineStr">
        <is>
          <t>GP DOC
Placed (head)</t>
        </is>
      </c>
      <c r="E4" s="4" t="inlineStr">
        <is>
          <t>Rearing End
(auto)</t>
        </is>
      </c>
      <c r="F4" s="4" t="inlineStr">
        <is>
          <t>Laying Start
(auto)</t>
        </is>
      </c>
      <c r="G4" s="4" t="inlineStr">
        <is>
          <t>Laying End /
Depopulation (auto)</t>
        </is>
      </c>
      <c r="H4" s="4" t="inlineStr">
        <is>
          <t>Hens at
Lay Start (auto)</t>
        </is>
      </c>
      <c r="I4" s="5" t="inlineStr">
        <is>
          <t>◀  WEEKLY GP SETTABLE HATCHING EGG PRODUCTION  (eggs / week)  ▶</t>
        </is>
      </c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7" t="n"/>
    </row>
    <row r="5" ht="14" customHeight="1">
      <c r="I5" s="8" t="inlineStr">
        <is>
          <t>Wk 1</t>
        </is>
      </c>
      <c r="J5" s="8" t="inlineStr">
        <is>
          <t>Wk 2</t>
        </is>
      </c>
      <c r="K5" s="8" t="inlineStr">
        <is>
          <t>Wk 3</t>
        </is>
      </c>
      <c r="L5" s="8" t="inlineStr">
        <is>
          <t>Wk 4</t>
        </is>
      </c>
      <c r="M5" s="8" t="inlineStr">
        <is>
          <t>Wk 5</t>
        </is>
      </c>
      <c r="N5" s="8" t="inlineStr">
        <is>
          <t>Wk 6</t>
        </is>
      </c>
      <c r="O5" s="8" t="inlineStr">
        <is>
          <t>Wk 7</t>
        </is>
      </c>
      <c r="P5" s="8" t="inlineStr">
        <is>
          <t>Wk 8</t>
        </is>
      </c>
      <c r="Q5" s="8" t="inlineStr">
        <is>
          <t>Wk 9</t>
        </is>
      </c>
      <c r="R5" s="8" t="inlineStr">
        <is>
          <t>Wk 10</t>
        </is>
      </c>
      <c r="S5" s="8" t="inlineStr">
        <is>
          <t>Wk 11</t>
        </is>
      </c>
      <c r="T5" s="8" t="inlineStr">
        <is>
          <t>Wk 12</t>
        </is>
      </c>
      <c r="U5" s="8" t="inlineStr">
        <is>
          <t>Wk 13</t>
        </is>
      </c>
      <c r="V5" s="8" t="inlineStr">
        <is>
          <t>Wk 14</t>
        </is>
      </c>
      <c r="W5" s="8" t="inlineStr">
        <is>
          <t>Wk 15</t>
        </is>
      </c>
      <c r="X5" s="8" t="inlineStr">
        <is>
          <t>Wk 16</t>
        </is>
      </c>
      <c r="Y5" s="8" t="inlineStr">
        <is>
          <t>Wk 17</t>
        </is>
      </c>
      <c r="Z5" s="8" t="inlineStr">
        <is>
          <t>Wk 18</t>
        </is>
      </c>
      <c r="AA5" s="8" t="inlineStr">
        <is>
          <t>Wk 19</t>
        </is>
      </c>
      <c r="AB5" s="8" t="inlineStr">
        <is>
          <t>Wk 20</t>
        </is>
      </c>
      <c r="AC5" s="8" t="inlineStr">
        <is>
          <t>Wk 21</t>
        </is>
      </c>
      <c r="AD5" s="8" t="inlineStr">
        <is>
          <t>Wk 22</t>
        </is>
      </c>
      <c r="AE5" s="8" t="inlineStr">
        <is>
          <t>Wk 23</t>
        </is>
      </c>
      <c r="AF5" s="8" t="inlineStr">
        <is>
          <t>Wk 24</t>
        </is>
      </c>
      <c r="AG5" s="8" t="inlineStr">
        <is>
          <t>Wk 25</t>
        </is>
      </c>
      <c r="AH5" s="8" t="inlineStr">
        <is>
          <t>Wk 26</t>
        </is>
      </c>
      <c r="AI5" s="8" t="inlineStr">
        <is>
          <t>Wk 27</t>
        </is>
      </c>
      <c r="AJ5" s="8" t="inlineStr">
        <is>
          <t>Wk 28</t>
        </is>
      </c>
      <c r="AK5" s="8" t="inlineStr">
        <is>
          <t>Wk 29</t>
        </is>
      </c>
      <c r="AL5" s="8" t="inlineStr">
        <is>
          <t>Wk 30</t>
        </is>
      </c>
      <c r="AM5" s="8" t="inlineStr">
        <is>
          <t>Wk 31</t>
        </is>
      </c>
      <c r="AN5" s="8" t="inlineStr">
        <is>
          <t>Wk 32</t>
        </is>
      </c>
      <c r="AO5" s="8" t="inlineStr">
        <is>
          <t>Wk 33</t>
        </is>
      </c>
      <c r="AP5" s="8" t="inlineStr">
        <is>
          <t>Wk 34</t>
        </is>
      </c>
      <c r="AQ5" s="8" t="inlineStr">
        <is>
          <t>Wk 35</t>
        </is>
      </c>
      <c r="AR5" s="8" t="inlineStr">
        <is>
          <t>Wk 36</t>
        </is>
      </c>
      <c r="AS5" s="8" t="inlineStr">
        <is>
          <t>Wk 37</t>
        </is>
      </c>
      <c r="AT5" s="8" t="inlineStr">
        <is>
          <t>Wk 38</t>
        </is>
      </c>
      <c r="AU5" s="8" t="inlineStr">
        <is>
          <t>Wk 39</t>
        </is>
      </c>
      <c r="AV5" s="8" t="inlineStr">
        <is>
          <t>Wk 40</t>
        </is>
      </c>
      <c r="AW5" s="8" t="inlineStr">
        <is>
          <t>Wk 41</t>
        </is>
      </c>
      <c r="AX5" s="8" t="inlineStr">
        <is>
          <t>Wk 42</t>
        </is>
      </c>
      <c r="AY5" s="8" t="inlineStr">
        <is>
          <t>Wk 43</t>
        </is>
      </c>
      <c r="AZ5" s="8" t="inlineStr">
        <is>
          <t>Wk 44</t>
        </is>
      </c>
      <c r="BA5" s="8" t="inlineStr">
        <is>
          <t>Wk 45</t>
        </is>
      </c>
      <c r="BB5" s="8" t="inlineStr">
        <is>
          <t>Wk 46</t>
        </is>
      </c>
      <c r="BC5" s="8" t="inlineStr">
        <is>
          <t>Wk 47</t>
        </is>
      </c>
      <c r="BD5" s="8" t="inlineStr">
        <is>
          <t>Wk 48</t>
        </is>
      </c>
      <c r="BE5" s="8" t="inlineStr">
        <is>
          <t>Wk 49</t>
        </is>
      </c>
      <c r="BF5" s="8" t="inlineStr">
        <is>
          <t>Wk 50</t>
        </is>
      </c>
      <c r="BG5" s="8" t="inlineStr">
        <is>
          <t>Wk 51</t>
        </is>
      </c>
      <c r="BH5" s="8" t="inlineStr">
        <is>
          <t>Wk 52</t>
        </is>
      </c>
    </row>
    <row r="6" ht="16" customHeight="1">
      <c r="A6" s="9" t="inlineStr">
        <is>
          <t>GP-1</t>
        </is>
      </c>
      <c r="B6" s="9" t="inlineStr">
        <is>
          <t>F-D</t>
        </is>
      </c>
      <c r="C6" s="10" t="n"/>
      <c r="D6" s="11" t="n"/>
      <c r="E6" s="12">
        <f>IF($D6&gt;0,$C6+param_GP_RearingWeeks*7,"")</f>
        <v/>
      </c>
      <c r="F6" s="12">
        <f>IF($E6&lt;&gt;"", $E6+param_GP_PreLayWeeks*7,"")</f>
        <v/>
      </c>
      <c r="G6" s="12">
        <f>IF($F6&lt;&gt;"", $F6+param_GP_LayingWeeks*7,"")</f>
        <v/>
      </c>
      <c r="H6" s="13">
        <f>IF($D6&gt;0,ROUND($D6*(1-param_GP_RearingMortality)*(1-param_GP_PreLayMortality),0),0)</f>
        <v/>
      </c>
      <c r="I6" s="14">
        <f>IFERROR(IF(AND(I$4&gt;=$F6,I$4&lt;=$G6,$D6&gt;0),ROUND($H6*(1-param_GP_LayMortWeekly)^INT((I$4-$F6)/7)*(param_GP_HDP/100)*7*param_GP_SettableRatio,0),0),0)</f>
        <v/>
      </c>
      <c r="J6" s="14">
        <f>IFERROR(IF(AND(J$4&gt;=$F6,J$4&lt;=$G6,$D6&gt;0),ROUND($H6*(1-param_GP_LayMortWeekly)^INT((J$4-$F6)/7)*(param_GP_HDP/100)*7*param_GP_SettableRatio,0),0),0)</f>
        <v/>
      </c>
      <c r="K6" s="14">
        <f>IFERROR(IF(AND(K$4&gt;=$F6,K$4&lt;=$G6,$D6&gt;0),ROUND($H6*(1-param_GP_LayMortWeekly)^INT((K$4-$F6)/7)*(param_GP_HDP/100)*7*param_GP_SettableRatio,0),0),0)</f>
        <v/>
      </c>
      <c r="L6" s="14">
        <f>IFERROR(IF(AND(L$4&gt;=$F6,L$4&lt;=$G6,$D6&gt;0),ROUND($H6*(1-param_GP_LayMortWeekly)^INT((L$4-$F6)/7)*(param_GP_HDP/100)*7*param_GP_SettableRatio,0),0),0)</f>
        <v/>
      </c>
      <c r="M6" s="14">
        <f>IFERROR(IF(AND(M$4&gt;=$F6,M$4&lt;=$G6,$D6&gt;0),ROUND($H6*(1-param_GP_LayMortWeekly)^INT((M$4-$F6)/7)*(param_GP_HDP/100)*7*param_GP_SettableRatio,0),0),0)</f>
        <v/>
      </c>
      <c r="N6" s="14">
        <f>IFERROR(IF(AND(N$4&gt;=$F6,N$4&lt;=$G6,$D6&gt;0),ROUND($H6*(1-param_GP_LayMortWeekly)^INT((N$4-$F6)/7)*(param_GP_HDP/100)*7*param_GP_SettableRatio,0),0),0)</f>
        <v/>
      </c>
      <c r="O6" s="14">
        <f>IFERROR(IF(AND(O$4&gt;=$F6,O$4&lt;=$G6,$D6&gt;0),ROUND($H6*(1-param_GP_LayMortWeekly)^INT((O$4-$F6)/7)*(param_GP_HDP/100)*7*param_GP_SettableRatio,0),0),0)</f>
        <v/>
      </c>
      <c r="P6" s="14">
        <f>IFERROR(IF(AND(P$4&gt;=$F6,P$4&lt;=$G6,$D6&gt;0),ROUND($H6*(1-param_GP_LayMortWeekly)^INT((P$4-$F6)/7)*(param_GP_HDP/100)*7*param_GP_SettableRatio,0),0),0)</f>
        <v/>
      </c>
      <c r="Q6" s="14">
        <f>IFERROR(IF(AND(Q$4&gt;=$F6,Q$4&lt;=$G6,$D6&gt;0),ROUND($H6*(1-param_GP_LayMortWeekly)^INT((Q$4-$F6)/7)*(param_GP_HDP/100)*7*param_GP_SettableRatio,0),0),0)</f>
        <v/>
      </c>
      <c r="R6" s="14">
        <f>IFERROR(IF(AND(R$4&gt;=$F6,R$4&lt;=$G6,$D6&gt;0),ROUND($H6*(1-param_GP_LayMortWeekly)^INT((R$4-$F6)/7)*(param_GP_HDP/100)*7*param_GP_SettableRatio,0),0),0)</f>
        <v/>
      </c>
      <c r="S6" s="14">
        <f>IFERROR(IF(AND(S$4&gt;=$F6,S$4&lt;=$G6,$D6&gt;0),ROUND($H6*(1-param_GP_LayMortWeekly)^INT((S$4-$F6)/7)*(param_GP_HDP/100)*7*param_GP_SettableRatio,0),0),0)</f>
        <v/>
      </c>
      <c r="T6" s="14">
        <f>IFERROR(IF(AND(T$4&gt;=$F6,T$4&lt;=$G6,$D6&gt;0),ROUND($H6*(1-param_GP_LayMortWeekly)^INT((T$4-$F6)/7)*(param_GP_HDP/100)*7*param_GP_SettableRatio,0),0),0)</f>
        <v/>
      </c>
      <c r="U6" s="14">
        <f>IFERROR(IF(AND(U$4&gt;=$F6,U$4&lt;=$G6,$D6&gt;0),ROUND($H6*(1-param_GP_LayMortWeekly)^INT((U$4-$F6)/7)*(param_GP_HDP/100)*7*param_GP_SettableRatio,0),0),0)</f>
        <v/>
      </c>
      <c r="V6" s="14">
        <f>IFERROR(IF(AND(V$4&gt;=$F6,V$4&lt;=$G6,$D6&gt;0),ROUND($H6*(1-param_GP_LayMortWeekly)^INT((V$4-$F6)/7)*(param_GP_HDP/100)*7*param_GP_SettableRatio,0),0),0)</f>
        <v/>
      </c>
      <c r="W6" s="14">
        <f>IFERROR(IF(AND(W$4&gt;=$F6,W$4&lt;=$G6,$D6&gt;0),ROUND($H6*(1-param_GP_LayMortWeekly)^INT((W$4-$F6)/7)*(param_GP_HDP/100)*7*param_GP_SettableRatio,0),0),0)</f>
        <v/>
      </c>
      <c r="X6" s="14">
        <f>IFERROR(IF(AND(X$4&gt;=$F6,X$4&lt;=$G6,$D6&gt;0),ROUND($H6*(1-param_GP_LayMortWeekly)^INT((X$4-$F6)/7)*(param_GP_HDP/100)*7*param_GP_SettableRatio,0),0),0)</f>
        <v/>
      </c>
      <c r="Y6" s="14">
        <f>IFERROR(IF(AND(Y$4&gt;=$F6,Y$4&lt;=$G6,$D6&gt;0),ROUND($H6*(1-param_GP_LayMortWeekly)^INT((Y$4-$F6)/7)*(param_GP_HDP/100)*7*param_GP_SettableRatio,0),0),0)</f>
        <v/>
      </c>
      <c r="Z6" s="14">
        <f>IFERROR(IF(AND(Z$4&gt;=$F6,Z$4&lt;=$G6,$D6&gt;0),ROUND($H6*(1-param_GP_LayMortWeekly)^INT((Z$4-$F6)/7)*(param_GP_HDP/100)*7*param_GP_SettableRatio,0),0),0)</f>
        <v/>
      </c>
      <c r="AA6" s="14">
        <f>IFERROR(IF(AND(AA$4&gt;=$F6,AA$4&lt;=$G6,$D6&gt;0),ROUND($H6*(1-param_GP_LayMortWeekly)^INT((AA$4-$F6)/7)*(param_GP_HDP/100)*7*param_GP_SettableRatio,0),0),0)</f>
        <v/>
      </c>
      <c r="AB6" s="14">
        <f>IFERROR(IF(AND(AB$4&gt;=$F6,AB$4&lt;=$G6,$D6&gt;0),ROUND($H6*(1-param_GP_LayMortWeekly)^INT((AB$4-$F6)/7)*(param_GP_HDP/100)*7*param_GP_SettableRatio,0),0),0)</f>
        <v/>
      </c>
      <c r="AC6" s="14">
        <f>IFERROR(IF(AND(AC$4&gt;=$F6,AC$4&lt;=$G6,$D6&gt;0),ROUND($H6*(1-param_GP_LayMortWeekly)^INT((AC$4-$F6)/7)*(param_GP_HDP/100)*7*param_GP_SettableRatio,0),0),0)</f>
        <v/>
      </c>
      <c r="AD6" s="14">
        <f>IFERROR(IF(AND(AD$4&gt;=$F6,AD$4&lt;=$G6,$D6&gt;0),ROUND($H6*(1-param_GP_LayMortWeekly)^INT((AD$4-$F6)/7)*(param_GP_HDP/100)*7*param_GP_SettableRatio,0),0),0)</f>
        <v/>
      </c>
      <c r="AE6" s="14">
        <f>IFERROR(IF(AND(AE$4&gt;=$F6,AE$4&lt;=$G6,$D6&gt;0),ROUND($H6*(1-param_GP_LayMortWeekly)^INT((AE$4-$F6)/7)*(param_GP_HDP/100)*7*param_GP_SettableRatio,0),0),0)</f>
        <v/>
      </c>
      <c r="AF6" s="14">
        <f>IFERROR(IF(AND(AF$4&gt;=$F6,AF$4&lt;=$G6,$D6&gt;0),ROUND($H6*(1-param_GP_LayMortWeekly)^INT((AF$4-$F6)/7)*(param_GP_HDP/100)*7*param_GP_SettableRatio,0),0),0)</f>
        <v/>
      </c>
      <c r="AG6" s="14">
        <f>IFERROR(IF(AND(AG$4&gt;=$F6,AG$4&lt;=$G6,$D6&gt;0),ROUND($H6*(1-param_GP_LayMortWeekly)^INT((AG$4-$F6)/7)*(param_GP_HDP/100)*7*param_GP_SettableRatio,0),0),0)</f>
        <v/>
      </c>
      <c r="AH6" s="14">
        <f>IFERROR(IF(AND(AH$4&gt;=$F6,AH$4&lt;=$G6,$D6&gt;0),ROUND($H6*(1-param_GP_LayMortWeekly)^INT((AH$4-$F6)/7)*(param_GP_HDP/100)*7*param_GP_SettableRatio,0),0),0)</f>
        <v/>
      </c>
      <c r="AI6" s="14">
        <f>IFERROR(IF(AND(AI$4&gt;=$F6,AI$4&lt;=$G6,$D6&gt;0),ROUND($H6*(1-param_GP_LayMortWeekly)^INT((AI$4-$F6)/7)*(param_GP_HDP/100)*7*param_GP_SettableRatio,0),0),0)</f>
        <v/>
      </c>
      <c r="AJ6" s="14">
        <f>IFERROR(IF(AND(AJ$4&gt;=$F6,AJ$4&lt;=$G6,$D6&gt;0),ROUND($H6*(1-param_GP_LayMortWeekly)^INT((AJ$4-$F6)/7)*(param_GP_HDP/100)*7*param_GP_SettableRatio,0),0),0)</f>
        <v/>
      </c>
      <c r="AK6" s="14">
        <f>IFERROR(IF(AND(AK$4&gt;=$F6,AK$4&lt;=$G6,$D6&gt;0),ROUND($H6*(1-param_GP_LayMortWeekly)^INT((AK$4-$F6)/7)*(param_GP_HDP/100)*7*param_GP_SettableRatio,0),0),0)</f>
        <v/>
      </c>
      <c r="AL6" s="14">
        <f>IFERROR(IF(AND(AL$4&gt;=$F6,AL$4&lt;=$G6,$D6&gt;0),ROUND($H6*(1-param_GP_LayMortWeekly)^INT((AL$4-$F6)/7)*(param_GP_HDP/100)*7*param_GP_SettableRatio,0),0),0)</f>
        <v/>
      </c>
      <c r="AM6" s="14">
        <f>IFERROR(IF(AND(AM$4&gt;=$F6,AM$4&lt;=$G6,$D6&gt;0),ROUND($H6*(1-param_GP_LayMortWeekly)^INT((AM$4-$F6)/7)*(param_GP_HDP/100)*7*param_GP_SettableRatio,0),0),0)</f>
        <v/>
      </c>
      <c r="AN6" s="14">
        <f>IFERROR(IF(AND(AN$4&gt;=$F6,AN$4&lt;=$G6,$D6&gt;0),ROUND($H6*(1-param_GP_LayMortWeekly)^INT((AN$4-$F6)/7)*(param_GP_HDP/100)*7*param_GP_SettableRatio,0),0),0)</f>
        <v/>
      </c>
      <c r="AO6" s="14">
        <f>IFERROR(IF(AND(AO$4&gt;=$F6,AO$4&lt;=$G6,$D6&gt;0),ROUND($H6*(1-param_GP_LayMortWeekly)^INT((AO$4-$F6)/7)*(param_GP_HDP/100)*7*param_GP_SettableRatio,0),0),0)</f>
        <v/>
      </c>
      <c r="AP6" s="14">
        <f>IFERROR(IF(AND(AP$4&gt;=$F6,AP$4&lt;=$G6,$D6&gt;0),ROUND($H6*(1-param_GP_LayMortWeekly)^INT((AP$4-$F6)/7)*(param_GP_HDP/100)*7*param_GP_SettableRatio,0),0),0)</f>
        <v/>
      </c>
      <c r="AQ6" s="14">
        <f>IFERROR(IF(AND(AQ$4&gt;=$F6,AQ$4&lt;=$G6,$D6&gt;0),ROUND($H6*(1-param_GP_LayMortWeekly)^INT((AQ$4-$F6)/7)*(param_GP_HDP/100)*7*param_GP_SettableRatio,0),0),0)</f>
        <v/>
      </c>
      <c r="AR6" s="14">
        <f>IFERROR(IF(AND(AR$4&gt;=$F6,AR$4&lt;=$G6,$D6&gt;0),ROUND($H6*(1-param_GP_LayMortWeekly)^INT((AR$4-$F6)/7)*(param_GP_HDP/100)*7*param_GP_SettableRatio,0),0),0)</f>
        <v/>
      </c>
      <c r="AS6" s="14">
        <f>IFERROR(IF(AND(AS$4&gt;=$F6,AS$4&lt;=$G6,$D6&gt;0),ROUND($H6*(1-param_GP_LayMortWeekly)^INT((AS$4-$F6)/7)*(param_GP_HDP/100)*7*param_GP_SettableRatio,0),0),0)</f>
        <v/>
      </c>
      <c r="AT6" s="14">
        <f>IFERROR(IF(AND(AT$4&gt;=$F6,AT$4&lt;=$G6,$D6&gt;0),ROUND($H6*(1-param_GP_LayMortWeekly)^INT((AT$4-$F6)/7)*(param_GP_HDP/100)*7*param_GP_SettableRatio,0),0),0)</f>
        <v/>
      </c>
      <c r="AU6" s="14">
        <f>IFERROR(IF(AND(AU$4&gt;=$F6,AU$4&lt;=$G6,$D6&gt;0),ROUND($H6*(1-param_GP_LayMortWeekly)^INT((AU$4-$F6)/7)*(param_GP_HDP/100)*7*param_GP_SettableRatio,0),0),0)</f>
        <v/>
      </c>
      <c r="AV6" s="14">
        <f>IFERROR(IF(AND(AV$4&gt;=$F6,AV$4&lt;=$G6,$D6&gt;0),ROUND($H6*(1-param_GP_LayMortWeekly)^INT((AV$4-$F6)/7)*(param_GP_HDP/100)*7*param_GP_SettableRatio,0),0),0)</f>
        <v/>
      </c>
      <c r="AW6" s="14">
        <f>IFERROR(IF(AND(AW$4&gt;=$F6,AW$4&lt;=$G6,$D6&gt;0),ROUND($H6*(1-param_GP_LayMortWeekly)^INT((AW$4-$F6)/7)*(param_GP_HDP/100)*7*param_GP_SettableRatio,0),0),0)</f>
        <v/>
      </c>
      <c r="AX6" s="14">
        <f>IFERROR(IF(AND(AX$4&gt;=$F6,AX$4&lt;=$G6,$D6&gt;0),ROUND($H6*(1-param_GP_LayMortWeekly)^INT((AX$4-$F6)/7)*(param_GP_HDP/100)*7*param_GP_SettableRatio,0),0),0)</f>
        <v/>
      </c>
      <c r="AY6" s="14">
        <f>IFERROR(IF(AND(AY$4&gt;=$F6,AY$4&lt;=$G6,$D6&gt;0),ROUND($H6*(1-param_GP_LayMortWeekly)^INT((AY$4-$F6)/7)*(param_GP_HDP/100)*7*param_GP_SettableRatio,0),0),0)</f>
        <v/>
      </c>
      <c r="AZ6" s="14">
        <f>IFERROR(IF(AND(AZ$4&gt;=$F6,AZ$4&lt;=$G6,$D6&gt;0),ROUND($H6*(1-param_GP_LayMortWeekly)^INT((AZ$4-$F6)/7)*(param_GP_HDP/100)*7*param_GP_SettableRatio,0),0),0)</f>
        <v/>
      </c>
      <c r="BA6" s="14">
        <f>IFERROR(IF(AND(BA$4&gt;=$F6,BA$4&lt;=$G6,$D6&gt;0),ROUND($H6*(1-param_GP_LayMortWeekly)^INT((BA$4-$F6)/7)*(param_GP_HDP/100)*7*param_GP_SettableRatio,0),0),0)</f>
        <v/>
      </c>
      <c r="BB6" s="14">
        <f>IFERROR(IF(AND(BB$4&gt;=$F6,BB$4&lt;=$G6,$D6&gt;0),ROUND($H6*(1-param_GP_LayMortWeekly)^INT((BB$4-$F6)/7)*(param_GP_HDP/100)*7*param_GP_SettableRatio,0),0),0)</f>
        <v/>
      </c>
      <c r="BC6" s="14">
        <f>IFERROR(IF(AND(BC$4&gt;=$F6,BC$4&lt;=$G6,$D6&gt;0),ROUND($H6*(1-param_GP_LayMortWeekly)^INT((BC$4-$F6)/7)*(param_GP_HDP/100)*7*param_GP_SettableRatio,0),0),0)</f>
        <v/>
      </c>
      <c r="BD6" s="14">
        <f>IFERROR(IF(AND(BD$4&gt;=$F6,BD$4&lt;=$G6,$D6&gt;0),ROUND($H6*(1-param_GP_LayMortWeekly)^INT((BD$4-$F6)/7)*(param_GP_HDP/100)*7*param_GP_SettableRatio,0),0),0)</f>
        <v/>
      </c>
      <c r="BE6" s="14">
        <f>IFERROR(IF(AND(BE$4&gt;=$F6,BE$4&lt;=$G6,$D6&gt;0),ROUND($H6*(1-param_GP_LayMortWeekly)^INT((BE$4-$F6)/7)*(param_GP_HDP/100)*7*param_GP_SettableRatio,0),0),0)</f>
        <v/>
      </c>
      <c r="BF6" s="14">
        <f>IFERROR(IF(AND(BF$4&gt;=$F6,BF$4&lt;=$G6,$D6&gt;0),ROUND($H6*(1-param_GP_LayMortWeekly)^INT((BF$4-$F6)/7)*(param_GP_HDP/100)*7*param_GP_SettableRatio,0),0),0)</f>
        <v/>
      </c>
      <c r="BG6" s="14">
        <f>IFERROR(IF(AND(BG$4&gt;=$F6,BG$4&lt;=$G6,$D6&gt;0),ROUND($H6*(1-param_GP_LayMortWeekly)^INT((BG$4-$F6)/7)*(param_GP_HDP/100)*7*param_GP_SettableRatio,0),0),0)</f>
        <v/>
      </c>
      <c r="BH6" s="14">
        <f>IFERROR(IF(AND(BH$4&gt;=$F6,BH$4&lt;=$G6,$D6&gt;0),ROUND($H6*(1-param_GP_LayMortWeekly)^INT((BH$4-$F6)/7)*(param_GP_HDP/100)*7*param_GP_SettableRatio,0),0),0)</f>
        <v/>
      </c>
    </row>
    <row r="7" ht="16" customHeight="1">
      <c r="A7" s="9" t="inlineStr">
        <is>
          <t>GP-2</t>
        </is>
      </c>
      <c r="B7" s="9" t="inlineStr">
        <is>
          <t>M-C</t>
        </is>
      </c>
      <c r="C7" s="10" t="n"/>
      <c r="D7" s="11" t="n"/>
      <c r="E7" s="12">
        <f>IF($D7&gt;0,$C7+param_GP_RearingWeeks*7,"")</f>
        <v/>
      </c>
      <c r="F7" s="12">
        <f>IF($E7&lt;&gt;"", $E7+param_GP_PreLayWeeks*7,"")</f>
        <v/>
      </c>
      <c r="G7" s="12">
        <f>IF($F7&lt;&gt;"", $F7+param_GP_LayingWeeks*7,"")</f>
        <v/>
      </c>
      <c r="H7" s="13">
        <f>IF($D7&gt;0,ROUND($D7*(1-param_GP_RearingMortality)*(1-param_GP_PreLayMortality),0),0)</f>
        <v/>
      </c>
      <c r="I7" s="14">
        <f>IFERROR(IF(AND(I$4&gt;=$F7,I$4&lt;=$G7,$D7&gt;0),ROUND($H7*(1-param_GP_LayMortWeekly)^INT((I$4-$F7)/7)*(param_GP_HDP/100)*7*param_GP_SettableRatio,0),0),0)</f>
        <v/>
      </c>
      <c r="J7" s="14">
        <f>IFERROR(IF(AND(J$4&gt;=$F7,J$4&lt;=$G7,$D7&gt;0),ROUND($H7*(1-param_GP_LayMortWeekly)^INT((J$4-$F7)/7)*(param_GP_HDP/100)*7*param_GP_SettableRatio,0),0),0)</f>
        <v/>
      </c>
      <c r="K7" s="14">
        <f>IFERROR(IF(AND(K$4&gt;=$F7,K$4&lt;=$G7,$D7&gt;0),ROUND($H7*(1-param_GP_LayMortWeekly)^INT((K$4-$F7)/7)*(param_GP_HDP/100)*7*param_GP_SettableRatio,0),0),0)</f>
        <v/>
      </c>
      <c r="L7" s="14">
        <f>IFERROR(IF(AND(L$4&gt;=$F7,L$4&lt;=$G7,$D7&gt;0),ROUND($H7*(1-param_GP_LayMortWeekly)^INT((L$4-$F7)/7)*(param_GP_HDP/100)*7*param_GP_SettableRatio,0),0),0)</f>
        <v/>
      </c>
      <c r="M7" s="14">
        <f>IFERROR(IF(AND(M$4&gt;=$F7,M$4&lt;=$G7,$D7&gt;0),ROUND($H7*(1-param_GP_LayMortWeekly)^INT((M$4-$F7)/7)*(param_GP_HDP/100)*7*param_GP_SettableRatio,0),0),0)</f>
        <v/>
      </c>
      <c r="N7" s="14">
        <f>IFERROR(IF(AND(N$4&gt;=$F7,N$4&lt;=$G7,$D7&gt;0),ROUND($H7*(1-param_GP_LayMortWeekly)^INT((N$4-$F7)/7)*(param_GP_HDP/100)*7*param_GP_SettableRatio,0),0),0)</f>
        <v/>
      </c>
      <c r="O7" s="14">
        <f>IFERROR(IF(AND(O$4&gt;=$F7,O$4&lt;=$G7,$D7&gt;0),ROUND($H7*(1-param_GP_LayMortWeekly)^INT((O$4-$F7)/7)*(param_GP_HDP/100)*7*param_GP_SettableRatio,0),0),0)</f>
        <v/>
      </c>
      <c r="P7" s="14">
        <f>IFERROR(IF(AND(P$4&gt;=$F7,P$4&lt;=$G7,$D7&gt;0),ROUND($H7*(1-param_GP_LayMortWeekly)^INT((P$4-$F7)/7)*(param_GP_HDP/100)*7*param_GP_SettableRatio,0),0),0)</f>
        <v/>
      </c>
      <c r="Q7" s="14">
        <f>IFERROR(IF(AND(Q$4&gt;=$F7,Q$4&lt;=$G7,$D7&gt;0),ROUND($H7*(1-param_GP_LayMortWeekly)^INT((Q$4-$F7)/7)*(param_GP_HDP/100)*7*param_GP_SettableRatio,0),0),0)</f>
        <v/>
      </c>
      <c r="R7" s="14">
        <f>IFERROR(IF(AND(R$4&gt;=$F7,R$4&lt;=$G7,$D7&gt;0),ROUND($H7*(1-param_GP_LayMortWeekly)^INT((R$4-$F7)/7)*(param_GP_HDP/100)*7*param_GP_SettableRatio,0),0),0)</f>
        <v/>
      </c>
      <c r="S7" s="14">
        <f>IFERROR(IF(AND(S$4&gt;=$F7,S$4&lt;=$G7,$D7&gt;0),ROUND($H7*(1-param_GP_LayMortWeekly)^INT((S$4-$F7)/7)*(param_GP_HDP/100)*7*param_GP_SettableRatio,0),0),0)</f>
        <v/>
      </c>
      <c r="T7" s="14">
        <f>IFERROR(IF(AND(T$4&gt;=$F7,T$4&lt;=$G7,$D7&gt;0),ROUND($H7*(1-param_GP_LayMortWeekly)^INT((T$4-$F7)/7)*(param_GP_HDP/100)*7*param_GP_SettableRatio,0),0),0)</f>
        <v/>
      </c>
      <c r="U7" s="14">
        <f>IFERROR(IF(AND(U$4&gt;=$F7,U$4&lt;=$G7,$D7&gt;0),ROUND($H7*(1-param_GP_LayMortWeekly)^INT((U$4-$F7)/7)*(param_GP_HDP/100)*7*param_GP_SettableRatio,0),0),0)</f>
        <v/>
      </c>
      <c r="V7" s="14">
        <f>IFERROR(IF(AND(V$4&gt;=$F7,V$4&lt;=$G7,$D7&gt;0),ROUND($H7*(1-param_GP_LayMortWeekly)^INT((V$4-$F7)/7)*(param_GP_HDP/100)*7*param_GP_SettableRatio,0),0),0)</f>
        <v/>
      </c>
      <c r="W7" s="14">
        <f>IFERROR(IF(AND(W$4&gt;=$F7,W$4&lt;=$G7,$D7&gt;0),ROUND($H7*(1-param_GP_LayMortWeekly)^INT((W$4-$F7)/7)*(param_GP_HDP/100)*7*param_GP_SettableRatio,0),0),0)</f>
        <v/>
      </c>
      <c r="X7" s="14">
        <f>IFERROR(IF(AND(X$4&gt;=$F7,X$4&lt;=$G7,$D7&gt;0),ROUND($H7*(1-param_GP_LayMortWeekly)^INT((X$4-$F7)/7)*(param_GP_HDP/100)*7*param_GP_SettableRatio,0),0),0)</f>
        <v/>
      </c>
      <c r="Y7" s="14">
        <f>IFERROR(IF(AND(Y$4&gt;=$F7,Y$4&lt;=$G7,$D7&gt;0),ROUND($H7*(1-param_GP_LayMortWeekly)^INT((Y$4-$F7)/7)*(param_GP_HDP/100)*7*param_GP_SettableRatio,0),0),0)</f>
        <v/>
      </c>
      <c r="Z7" s="14">
        <f>IFERROR(IF(AND(Z$4&gt;=$F7,Z$4&lt;=$G7,$D7&gt;0),ROUND($H7*(1-param_GP_LayMortWeekly)^INT((Z$4-$F7)/7)*(param_GP_HDP/100)*7*param_GP_SettableRatio,0),0),0)</f>
        <v/>
      </c>
      <c r="AA7" s="14">
        <f>IFERROR(IF(AND(AA$4&gt;=$F7,AA$4&lt;=$G7,$D7&gt;0),ROUND($H7*(1-param_GP_LayMortWeekly)^INT((AA$4-$F7)/7)*(param_GP_HDP/100)*7*param_GP_SettableRatio,0),0),0)</f>
        <v/>
      </c>
      <c r="AB7" s="14">
        <f>IFERROR(IF(AND(AB$4&gt;=$F7,AB$4&lt;=$G7,$D7&gt;0),ROUND($H7*(1-param_GP_LayMortWeekly)^INT((AB$4-$F7)/7)*(param_GP_HDP/100)*7*param_GP_SettableRatio,0),0),0)</f>
        <v/>
      </c>
      <c r="AC7" s="14">
        <f>IFERROR(IF(AND(AC$4&gt;=$F7,AC$4&lt;=$G7,$D7&gt;0),ROUND($H7*(1-param_GP_LayMortWeekly)^INT((AC$4-$F7)/7)*(param_GP_HDP/100)*7*param_GP_SettableRatio,0),0),0)</f>
        <v/>
      </c>
      <c r="AD7" s="14">
        <f>IFERROR(IF(AND(AD$4&gt;=$F7,AD$4&lt;=$G7,$D7&gt;0),ROUND($H7*(1-param_GP_LayMortWeekly)^INT((AD$4-$F7)/7)*(param_GP_HDP/100)*7*param_GP_SettableRatio,0),0),0)</f>
        <v/>
      </c>
      <c r="AE7" s="14">
        <f>IFERROR(IF(AND(AE$4&gt;=$F7,AE$4&lt;=$G7,$D7&gt;0),ROUND($H7*(1-param_GP_LayMortWeekly)^INT((AE$4-$F7)/7)*(param_GP_HDP/100)*7*param_GP_SettableRatio,0),0),0)</f>
        <v/>
      </c>
      <c r="AF7" s="14">
        <f>IFERROR(IF(AND(AF$4&gt;=$F7,AF$4&lt;=$G7,$D7&gt;0),ROUND($H7*(1-param_GP_LayMortWeekly)^INT((AF$4-$F7)/7)*(param_GP_HDP/100)*7*param_GP_SettableRatio,0),0),0)</f>
        <v/>
      </c>
      <c r="AG7" s="14">
        <f>IFERROR(IF(AND(AG$4&gt;=$F7,AG$4&lt;=$G7,$D7&gt;0),ROUND($H7*(1-param_GP_LayMortWeekly)^INT((AG$4-$F7)/7)*(param_GP_HDP/100)*7*param_GP_SettableRatio,0),0),0)</f>
        <v/>
      </c>
      <c r="AH7" s="14">
        <f>IFERROR(IF(AND(AH$4&gt;=$F7,AH$4&lt;=$G7,$D7&gt;0),ROUND($H7*(1-param_GP_LayMortWeekly)^INT((AH$4-$F7)/7)*(param_GP_HDP/100)*7*param_GP_SettableRatio,0),0),0)</f>
        <v/>
      </c>
      <c r="AI7" s="14">
        <f>IFERROR(IF(AND(AI$4&gt;=$F7,AI$4&lt;=$G7,$D7&gt;0),ROUND($H7*(1-param_GP_LayMortWeekly)^INT((AI$4-$F7)/7)*(param_GP_HDP/100)*7*param_GP_SettableRatio,0),0),0)</f>
        <v/>
      </c>
      <c r="AJ7" s="14">
        <f>IFERROR(IF(AND(AJ$4&gt;=$F7,AJ$4&lt;=$G7,$D7&gt;0),ROUND($H7*(1-param_GP_LayMortWeekly)^INT((AJ$4-$F7)/7)*(param_GP_HDP/100)*7*param_GP_SettableRatio,0),0),0)</f>
        <v/>
      </c>
      <c r="AK7" s="14">
        <f>IFERROR(IF(AND(AK$4&gt;=$F7,AK$4&lt;=$G7,$D7&gt;0),ROUND($H7*(1-param_GP_LayMortWeekly)^INT((AK$4-$F7)/7)*(param_GP_HDP/100)*7*param_GP_SettableRatio,0),0),0)</f>
        <v/>
      </c>
      <c r="AL7" s="14">
        <f>IFERROR(IF(AND(AL$4&gt;=$F7,AL$4&lt;=$G7,$D7&gt;0),ROUND($H7*(1-param_GP_LayMortWeekly)^INT((AL$4-$F7)/7)*(param_GP_HDP/100)*7*param_GP_SettableRatio,0),0),0)</f>
        <v/>
      </c>
      <c r="AM7" s="14">
        <f>IFERROR(IF(AND(AM$4&gt;=$F7,AM$4&lt;=$G7,$D7&gt;0),ROUND($H7*(1-param_GP_LayMortWeekly)^INT((AM$4-$F7)/7)*(param_GP_HDP/100)*7*param_GP_SettableRatio,0),0),0)</f>
        <v/>
      </c>
      <c r="AN7" s="14">
        <f>IFERROR(IF(AND(AN$4&gt;=$F7,AN$4&lt;=$G7,$D7&gt;0),ROUND($H7*(1-param_GP_LayMortWeekly)^INT((AN$4-$F7)/7)*(param_GP_HDP/100)*7*param_GP_SettableRatio,0),0),0)</f>
        <v/>
      </c>
      <c r="AO7" s="14">
        <f>IFERROR(IF(AND(AO$4&gt;=$F7,AO$4&lt;=$G7,$D7&gt;0),ROUND($H7*(1-param_GP_LayMortWeekly)^INT((AO$4-$F7)/7)*(param_GP_HDP/100)*7*param_GP_SettableRatio,0),0),0)</f>
        <v/>
      </c>
      <c r="AP7" s="14">
        <f>IFERROR(IF(AND(AP$4&gt;=$F7,AP$4&lt;=$G7,$D7&gt;0),ROUND($H7*(1-param_GP_LayMortWeekly)^INT((AP$4-$F7)/7)*(param_GP_HDP/100)*7*param_GP_SettableRatio,0),0),0)</f>
        <v/>
      </c>
      <c r="AQ7" s="14">
        <f>IFERROR(IF(AND(AQ$4&gt;=$F7,AQ$4&lt;=$G7,$D7&gt;0),ROUND($H7*(1-param_GP_LayMortWeekly)^INT((AQ$4-$F7)/7)*(param_GP_HDP/100)*7*param_GP_SettableRatio,0),0),0)</f>
        <v/>
      </c>
      <c r="AR7" s="14">
        <f>IFERROR(IF(AND(AR$4&gt;=$F7,AR$4&lt;=$G7,$D7&gt;0),ROUND($H7*(1-param_GP_LayMortWeekly)^INT((AR$4-$F7)/7)*(param_GP_HDP/100)*7*param_GP_SettableRatio,0),0),0)</f>
        <v/>
      </c>
      <c r="AS7" s="14">
        <f>IFERROR(IF(AND(AS$4&gt;=$F7,AS$4&lt;=$G7,$D7&gt;0),ROUND($H7*(1-param_GP_LayMortWeekly)^INT((AS$4-$F7)/7)*(param_GP_HDP/100)*7*param_GP_SettableRatio,0),0),0)</f>
        <v/>
      </c>
      <c r="AT7" s="14">
        <f>IFERROR(IF(AND(AT$4&gt;=$F7,AT$4&lt;=$G7,$D7&gt;0),ROUND($H7*(1-param_GP_LayMortWeekly)^INT((AT$4-$F7)/7)*(param_GP_HDP/100)*7*param_GP_SettableRatio,0),0),0)</f>
        <v/>
      </c>
      <c r="AU7" s="14">
        <f>IFERROR(IF(AND(AU$4&gt;=$F7,AU$4&lt;=$G7,$D7&gt;0),ROUND($H7*(1-param_GP_LayMortWeekly)^INT((AU$4-$F7)/7)*(param_GP_HDP/100)*7*param_GP_SettableRatio,0),0),0)</f>
        <v/>
      </c>
      <c r="AV7" s="14">
        <f>IFERROR(IF(AND(AV$4&gt;=$F7,AV$4&lt;=$G7,$D7&gt;0),ROUND($H7*(1-param_GP_LayMortWeekly)^INT((AV$4-$F7)/7)*(param_GP_HDP/100)*7*param_GP_SettableRatio,0),0),0)</f>
        <v/>
      </c>
      <c r="AW7" s="14">
        <f>IFERROR(IF(AND(AW$4&gt;=$F7,AW$4&lt;=$G7,$D7&gt;0),ROUND($H7*(1-param_GP_LayMortWeekly)^INT((AW$4-$F7)/7)*(param_GP_HDP/100)*7*param_GP_SettableRatio,0),0),0)</f>
        <v/>
      </c>
      <c r="AX7" s="14">
        <f>IFERROR(IF(AND(AX$4&gt;=$F7,AX$4&lt;=$G7,$D7&gt;0),ROUND($H7*(1-param_GP_LayMortWeekly)^INT((AX$4-$F7)/7)*(param_GP_HDP/100)*7*param_GP_SettableRatio,0),0),0)</f>
        <v/>
      </c>
      <c r="AY7" s="14">
        <f>IFERROR(IF(AND(AY$4&gt;=$F7,AY$4&lt;=$G7,$D7&gt;0),ROUND($H7*(1-param_GP_LayMortWeekly)^INT((AY$4-$F7)/7)*(param_GP_HDP/100)*7*param_GP_SettableRatio,0),0),0)</f>
        <v/>
      </c>
      <c r="AZ7" s="14">
        <f>IFERROR(IF(AND(AZ$4&gt;=$F7,AZ$4&lt;=$G7,$D7&gt;0),ROUND($H7*(1-param_GP_LayMortWeekly)^INT((AZ$4-$F7)/7)*(param_GP_HDP/100)*7*param_GP_SettableRatio,0),0),0)</f>
        <v/>
      </c>
      <c r="BA7" s="14">
        <f>IFERROR(IF(AND(BA$4&gt;=$F7,BA$4&lt;=$G7,$D7&gt;0),ROUND($H7*(1-param_GP_LayMortWeekly)^INT((BA$4-$F7)/7)*(param_GP_HDP/100)*7*param_GP_SettableRatio,0),0),0)</f>
        <v/>
      </c>
      <c r="BB7" s="14">
        <f>IFERROR(IF(AND(BB$4&gt;=$F7,BB$4&lt;=$G7,$D7&gt;0),ROUND($H7*(1-param_GP_LayMortWeekly)^INT((BB$4-$F7)/7)*(param_GP_HDP/100)*7*param_GP_SettableRatio,0),0),0)</f>
        <v/>
      </c>
      <c r="BC7" s="14">
        <f>IFERROR(IF(AND(BC$4&gt;=$F7,BC$4&lt;=$G7,$D7&gt;0),ROUND($H7*(1-param_GP_LayMortWeekly)^INT((BC$4-$F7)/7)*(param_GP_HDP/100)*7*param_GP_SettableRatio,0),0),0)</f>
        <v/>
      </c>
      <c r="BD7" s="14">
        <f>IFERROR(IF(AND(BD$4&gt;=$F7,BD$4&lt;=$G7,$D7&gt;0),ROUND($H7*(1-param_GP_LayMortWeekly)^INT((BD$4-$F7)/7)*(param_GP_HDP/100)*7*param_GP_SettableRatio,0),0),0)</f>
        <v/>
      </c>
      <c r="BE7" s="14">
        <f>IFERROR(IF(AND(BE$4&gt;=$F7,BE$4&lt;=$G7,$D7&gt;0),ROUND($H7*(1-param_GP_LayMortWeekly)^INT((BE$4-$F7)/7)*(param_GP_HDP/100)*7*param_GP_SettableRatio,0),0),0)</f>
        <v/>
      </c>
      <c r="BF7" s="14">
        <f>IFERROR(IF(AND(BF$4&gt;=$F7,BF$4&lt;=$G7,$D7&gt;0),ROUND($H7*(1-param_GP_LayMortWeekly)^INT((BF$4-$F7)/7)*(param_GP_HDP/100)*7*param_GP_SettableRatio,0),0),0)</f>
        <v/>
      </c>
      <c r="BG7" s="14">
        <f>IFERROR(IF(AND(BG$4&gt;=$F7,BG$4&lt;=$G7,$D7&gt;0),ROUND($H7*(1-param_GP_LayMortWeekly)^INT((BG$4-$F7)/7)*(param_GP_HDP/100)*7*param_GP_SettableRatio,0),0),0)</f>
        <v/>
      </c>
      <c r="BH7" s="14">
        <f>IFERROR(IF(AND(BH$4&gt;=$F7,BH$4&lt;=$G7,$D7&gt;0),ROUND($H7*(1-param_GP_LayMortWeekly)^INT((BH$4-$F7)/7)*(param_GP_HDP/100)*7*param_GP_SettableRatio,0),0),0)</f>
        <v/>
      </c>
    </row>
    <row r="8" ht="16" customHeight="1">
      <c r="A8" s="9" t="inlineStr">
        <is>
          <t>GP-3</t>
        </is>
      </c>
      <c r="B8" s="9" t="inlineStr">
        <is>
          <t>F-B</t>
        </is>
      </c>
      <c r="C8" s="10" t="n"/>
      <c r="D8" s="11" t="n"/>
      <c r="E8" s="12">
        <f>IF($D8&gt;0,$C8+param_GP_RearingWeeks*7,"")</f>
        <v/>
      </c>
      <c r="F8" s="12">
        <f>IF($E8&lt;&gt;"", $E8+param_GP_PreLayWeeks*7,"")</f>
        <v/>
      </c>
      <c r="G8" s="12">
        <f>IF($F8&lt;&gt;"", $F8+param_GP_LayingWeeks*7,"")</f>
        <v/>
      </c>
      <c r="H8" s="13">
        <f>IF($D8&gt;0,ROUND($D8*(1-param_GP_RearingMortality)*(1-param_GP_PreLayMortality),0),0)</f>
        <v/>
      </c>
      <c r="I8" s="14">
        <f>IFERROR(IF(AND(I$4&gt;=$F8,I$4&lt;=$G8,$D8&gt;0),ROUND($H8*(1-param_GP_LayMortWeekly)^INT((I$4-$F8)/7)*(param_GP_HDP/100)*7*param_GP_SettableRatio,0),0),0)</f>
        <v/>
      </c>
      <c r="J8" s="14">
        <f>IFERROR(IF(AND(J$4&gt;=$F8,J$4&lt;=$G8,$D8&gt;0),ROUND($H8*(1-param_GP_LayMortWeekly)^INT((J$4-$F8)/7)*(param_GP_HDP/100)*7*param_GP_SettableRatio,0),0),0)</f>
        <v/>
      </c>
      <c r="K8" s="14">
        <f>IFERROR(IF(AND(K$4&gt;=$F8,K$4&lt;=$G8,$D8&gt;0),ROUND($H8*(1-param_GP_LayMortWeekly)^INT((K$4-$F8)/7)*(param_GP_HDP/100)*7*param_GP_SettableRatio,0),0),0)</f>
        <v/>
      </c>
      <c r="L8" s="14">
        <f>IFERROR(IF(AND(L$4&gt;=$F8,L$4&lt;=$G8,$D8&gt;0),ROUND($H8*(1-param_GP_LayMortWeekly)^INT((L$4-$F8)/7)*(param_GP_HDP/100)*7*param_GP_SettableRatio,0),0),0)</f>
        <v/>
      </c>
      <c r="M8" s="14">
        <f>IFERROR(IF(AND(M$4&gt;=$F8,M$4&lt;=$G8,$D8&gt;0),ROUND($H8*(1-param_GP_LayMortWeekly)^INT((M$4-$F8)/7)*(param_GP_HDP/100)*7*param_GP_SettableRatio,0),0),0)</f>
        <v/>
      </c>
      <c r="N8" s="14">
        <f>IFERROR(IF(AND(N$4&gt;=$F8,N$4&lt;=$G8,$D8&gt;0),ROUND($H8*(1-param_GP_LayMortWeekly)^INT((N$4-$F8)/7)*(param_GP_HDP/100)*7*param_GP_SettableRatio,0),0),0)</f>
        <v/>
      </c>
      <c r="O8" s="14">
        <f>IFERROR(IF(AND(O$4&gt;=$F8,O$4&lt;=$G8,$D8&gt;0),ROUND($H8*(1-param_GP_LayMortWeekly)^INT((O$4-$F8)/7)*(param_GP_HDP/100)*7*param_GP_SettableRatio,0),0),0)</f>
        <v/>
      </c>
      <c r="P8" s="14">
        <f>IFERROR(IF(AND(P$4&gt;=$F8,P$4&lt;=$G8,$D8&gt;0),ROUND($H8*(1-param_GP_LayMortWeekly)^INT((P$4-$F8)/7)*(param_GP_HDP/100)*7*param_GP_SettableRatio,0),0),0)</f>
        <v/>
      </c>
      <c r="Q8" s="14">
        <f>IFERROR(IF(AND(Q$4&gt;=$F8,Q$4&lt;=$G8,$D8&gt;0),ROUND($H8*(1-param_GP_LayMortWeekly)^INT((Q$4-$F8)/7)*(param_GP_HDP/100)*7*param_GP_SettableRatio,0),0),0)</f>
        <v/>
      </c>
      <c r="R8" s="14">
        <f>IFERROR(IF(AND(R$4&gt;=$F8,R$4&lt;=$G8,$D8&gt;0),ROUND($H8*(1-param_GP_LayMortWeekly)^INT((R$4-$F8)/7)*(param_GP_HDP/100)*7*param_GP_SettableRatio,0),0),0)</f>
        <v/>
      </c>
      <c r="S8" s="14">
        <f>IFERROR(IF(AND(S$4&gt;=$F8,S$4&lt;=$G8,$D8&gt;0),ROUND($H8*(1-param_GP_LayMortWeekly)^INT((S$4-$F8)/7)*(param_GP_HDP/100)*7*param_GP_SettableRatio,0),0),0)</f>
        <v/>
      </c>
      <c r="T8" s="14">
        <f>IFERROR(IF(AND(T$4&gt;=$F8,T$4&lt;=$G8,$D8&gt;0),ROUND($H8*(1-param_GP_LayMortWeekly)^INT((T$4-$F8)/7)*(param_GP_HDP/100)*7*param_GP_SettableRatio,0),0),0)</f>
        <v/>
      </c>
      <c r="U8" s="14">
        <f>IFERROR(IF(AND(U$4&gt;=$F8,U$4&lt;=$G8,$D8&gt;0),ROUND($H8*(1-param_GP_LayMortWeekly)^INT((U$4-$F8)/7)*(param_GP_HDP/100)*7*param_GP_SettableRatio,0),0),0)</f>
        <v/>
      </c>
      <c r="V8" s="14">
        <f>IFERROR(IF(AND(V$4&gt;=$F8,V$4&lt;=$G8,$D8&gt;0),ROUND($H8*(1-param_GP_LayMortWeekly)^INT((V$4-$F8)/7)*(param_GP_HDP/100)*7*param_GP_SettableRatio,0),0),0)</f>
        <v/>
      </c>
      <c r="W8" s="14">
        <f>IFERROR(IF(AND(W$4&gt;=$F8,W$4&lt;=$G8,$D8&gt;0),ROUND($H8*(1-param_GP_LayMortWeekly)^INT((W$4-$F8)/7)*(param_GP_HDP/100)*7*param_GP_SettableRatio,0),0),0)</f>
        <v/>
      </c>
      <c r="X8" s="14">
        <f>IFERROR(IF(AND(X$4&gt;=$F8,X$4&lt;=$G8,$D8&gt;0),ROUND($H8*(1-param_GP_LayMortWeekly)^INT((X$4-$F8)/7)*(param_GP_HDP/100)*7*param_GP_SettableRatio,0),0),0)</f>
        <v/>
      </c>
      <c r="Y8" s="14">
        <f>IFERROR(IF(AND(Y$4&gt;=$F8,Y$4&lt;=$G8,$D8&gt;0),ROUND($H8*(1-param_GP_LayMortWeekly)^INT((Y$4-$F8)/7)*(param_GP_HDP/100)*7*param_GP_SettableRatio,0),0),0)</f>
        <v/>
      </c>
      <c r="Z8" s="14">
        <f>IFERROR(IF(AND(Z$4&gt;=$F8,Z$4&lt;=$G8,$D8&gt;0),ROUND($H8*(1-param_GP_LayMortWeekly)^INT((Z$4-$F8)/7)*(param_GP_HDP/100)*7*param_GP_SettableRatio,0),0),0)</f>
        <v/>
      </c>
      <c r="AA8" s="14">
        <f>IFERROR(IF(AND(AA$4&gt;=$F8,AA$4&lt;=$G8,$D8&gt;0),ROUND($H8*(1-param_GP_LayMortWeekly)^INT((AA$4-$F8)/7)*(param_GP_HDP/100)*7*param_GP_SettableRatio,0),0),0)</f>
        <v/>
      </c>
      <c r="AB8" s="14">
        <f>IFERROR(IF(AND(AB$4&gt;=$F8,AB$4&lt;=$G8,$D8&gt;0),ROUND($H8*(1-param_GP_LayMortWeekly)^INT((AB$4-$F8)/7)*(param_GP_HDP/100)*7*param_GP_SettableRatio,0),0),0)</f>
        <v/>
      </c>
      <c r="AC8" s="14">
        <f>IFERROR(IF(AND(AC$4&gt;=$F8,AC$4&lt;=$G8,$D8&gt;0),ROUND($H8*(1-param_GP_LayMortWeekly)^INT((AC$4-$F8)/7)*(param_GP_HDP/100)*7*param_GP_SettableRatio,0),0),0)</f>
        <v/>
      </c>
      <c r="AD8" s="14">
        <f>IFERROR(IF(AND(AD$4&gt;=$F8,AD$4&lt;=$G8,$D8&gt;0),ROUND($H8*(1-param_GP_LayMortWeekly)^INT((AD$4-$F8)/7)*(param_GP_HDP/100)*7*param_GP_SettableRatio,0),0),0)</f>
        <v/>
      </c>
      <c r="AE8" s="14">
        <f>IFERROR(IF(AND(AE$4&gt;=$F8,AE$4&lt;=$G8,$D8&gt;0),ROUND($H8*(1-param_GP_LayMortWeekly)^INT((AE$4-$F8)/7)*(param_GP_HDP/100)*7*param_GP_SettableRatio,0),0),0)</f>
        <v/>
      </c>
      <c r="AF8" s="14">
        <f>IFERROR(IF(AND(AF$4&gt;=$F8,AF$4&lt;=$G8,$D8&gt;0),ROUND($H8*(1-param_GP_LayMortWeekly)^INT((AF$4-$F8)/7)*(param_GP_HDP/100)*7*param_GP_SettableRatio,0),0),0)</f>
        <v/>
      </c>
      <c r="AG8" s="14">
        <f>IFERROR(IF(AND(AG$4&gt;=$F8,AG$4&lt;=$G8,$D8&gt;0),ROUND($H8*(1-param_GP_LayMortWeekly)^INT((AG$4-$F8)/7)*(param_GP_HDP/100)*7*param_GP_SettableRatio,0),0),0)</f>
        <v/>
      </c>
      <c r="AH8" s="14">
        <f>IFERROR(IF(AND(AH$4&gt;=$F8,AH$4&lt;=$G8,$D8&gt;0),ROUND($H8*(1-param_GP_LayMortWeekly)^INT((AH$4-$F8)/7)*(param_GP_HDP/100)*7*param_GP_SettableRatio,0),0),0)</f>
        <v/>
      </c>
      <c r="AI8" s="14">
        <f>IFERROR(IF(AND(AI$4&gt;=$F8,AI$4&lt;=$G8,$D8&gt;0),ROUND($H8*(1-param_GP_LayMortWeekly)^INT((AI$4-$F8)/7)*(param_GP_HDP/100)*7*param_GP_SettableRatio,0),0),0)</f>
        <v/>
      </c>
      <c r="AJ8" s="14">
        <f>IFERROR(IF(AND(AJ$4&gt;=$F8,AJ$4&lt;=$G8,$D8&gt;0),ROUND($H8*(1-param_GP_LayMortWeekly)^INT((AJ$4-$F8)/7)*(param_GP_HDP/100)*7*param_GP_SettableRatio,0),0),0)</f>
        <v/>
      </c>
      <c r="AK8" s="14">
        <f>IFERROR(IF(AND(AK$4&gt;=$F8,AK$4&lt;=$G8,$D8&gt;0),ROUND($H8*(1-param_GP_LayMortWeekly)^INT((AK$4-$F8)/7)*(param_GP_HDP/100)*7*param_GP_SettableRatio,0),0),0)</f>
        <v/>
      </c>
      <c r="AL8" s="14">
        <f>IFERROR(IF(AND(AL$4&gt;=$F8,AL$4&lt;=$G8,$D8&gt;0),ROUND($H8*(1-param_GP_LayMortWeekly)^INT((AL$4-$F8)/7)*(param_GP_HDP/100)*7*param_GP_SettableRatio,0),0),0)</f>
        <v/>
      </c>
      <c r="AM8" s="14">
        <f>IFERROR(IF(AND(AM$4&gt;=$F8,AM$4&lt;=$G8,$D8&gt;0),ROUND($H8*(1-param_GP_LayMortWeekly)^INT((AM$4-$F8)/7)*(param_GP_HDP/100)*7*param_GP_SettableRatio,0),0),0)</f>
        <v/>
      </c>
      <c r="AN8" s="14">
        <f>IFERROR(IF(AND(AN$4&gt;=$F8,AN$4&lt;=$G8,$D8&gt;0),ROUND($H8*(1-param_GP_LayMortWeekly)^INT((AN$4-$F8)/7)*(param_GP_HDP/100)*7*param_GP_SettableRatio,0),0),0)</f>
        <v/>
      </c>
      <c r="AO8" s="14">
        <f>IFERROR(IF(AND(AO$4&gt;=$F8,AO$4&lt;=$G8,$D8&gt;0),ROUND($H8*(1-param_GP_LayMortWeekly)^INT((AO$4-$F8)/7)*(param_GP_HDP/100)*7*param_GP_SettableRatio,0),0),0)</f>
        <v/>
      </c>
      <c r="AP8" s="14">
        <f>IFERROR(IF(AND(AP$4&gt;=$F8,AP$4&lt;=$G8,$D8&gt;0),ROUND($H8*(1-param_GP_LayMortWeekly)^INT((AP$4-$F8)/7)*(param_GP_HDP/100)*7*param_GP_SettableRatio,0),0),0)</f>
        <v/>
      </c>
      <c r="AQ8" s="14">
        <f>IFERROR(IF(AND(AQ$4&gt;=$F8,AQ$4&lt;=$G8,$D8&gt;0),ROUND($H8*(1-param_GP_LayMortWeekly)^INT((AQ$4-$F8)/7)*(param_GP_HDP/100)*7*param_GP_SettableRatio,0),0),0)</f>
        <v/>
      </c>
      <c r="AR8" s="14">
        <f>IFERROR(IF(AND(AR$4&gt;=$F8,AR$4&lt;=$G8,$D8&gt;0),ROUND($H8*(1-param_GP_LayMortWeekly)^INT((AR$4-$F8)/7)*(param_GP_HDP/100)*7*param_GP_SettableRatio,0),0),0)</f>
        <v/>
      </c>
      <c r="AS8" s="14">
        <f>IFERROR(IF(AND(AS$4&gt;=$F8,AS$4&lt;=$G8,$D8&gt;0),ROUND($H8*(1-param_GP_LayMortWeekly)^INT((AS$4-$F8)/7)*(param_GP_HDP/100)*7*param_GP_SettableRatio,0),0),0)</f>
        <v/>
      </c>
      <c r="AT8" s="14">
        <f>IFERROR(IF(AND(AT$4&gt;=$F8,AT$4&lt;=$G8,$D8&gt;0),ROUND($H8*(1-param_GP_LayMortWeekly)^INT((AT$4-$F8)/7)*(param_GP_HDP/100)*7*param_GP_SettableRatio,0),0),0)</f>
        <v/>
      </c>
      <c r="AU8" s="14">
        <f>IFERROR(IF(AND(AU$4&gt;=$F8,AU$4&lt;=$G8,$D8&gt;0),ROUND($H8*(1-param_GP_LayMortWeekly)^INT((AU$4-$F8)/7)*(param_GP_HDP/100)*7*param_GP_SettableRatio,0),0),0)</f>
        <v/>
      </c>
      <c r="AV8" s="14">
        <f>IFERROR(IF(AND(AV$4&gt;=$F8,AV$4&lt;=$G8,$D8&gt;0),ROUND($H8*(1-param_GP_LayMortWeekly)^INT((AV$4-$F8)/7)*(param_GP_HDP/100)*7*param_GP_SettableRatio,0),0),0)</f>
        <v/>
      </c>
      <c r="AW8" s="14">
        <f>IFERROR(IF(AND(AW$4&gt;=$F8,AW$4&lt;=$G8,$D8&gt;0),ROUND($H8*(1-param_GP_LayMortWeekly)^INT((AW$4-$F8)/7)*(param_GP_HDP/100)*7*param_GP_SettableRatio,0),0),0)</f>
        <v/>
      </c>
      <c r="AX8" s="14">
        <f>IFERROR(IF(AND(AX$4&gt;=$F8,AX$4&lt;=$G8,$D8&gt;0),ROUND($H8*(1-param_GP_LayMortWeekly)^INT((AX$4-$F8)/7)*(param_GP_HDP/100)*7*param_GP_SettableRatio,0),0),0)</f>
        <v/>
      </c>
      <c r="AY8" s="14">
        <f>IFERROR(IF(AND(AY$4&gt;=$F8,AY$4&lt;=$G8,$D8&gt;0),ROUND($H8*(1-param_GP_LayMortWeekly)^INT((AY$4-$F8)/7)*(param_GP_HDP/100)*7*param_GP_SettableRatio,0),0),0)</f>
        <v/>
      </c>
      <c r="AZ8" s="14">
        <f>IFERROR(IF(AND(AZ$4&gt;=$F8,AZ$4&lt;=$G8,$D8&gt;0),ROUND($H8*(1-param_GP_LayMortWeekly)^INT((AZ$4-$F8)/7)*(param_GP_HDP/100)*7*param_GP_SettableRatio,0),0),0)</f>
        <v/>
      </c>
      <c r="BA8" s="14">
        <f>IFERROR(IF(AND(BA$4&gt;=$F8,BA$4&lt;=$G8,$D8&gt;0),ROUND($H8*(1-param_GP_LayMortWeekly)^INT((BA$4-$F8)/7)*(param_GP_HDP/100)*7*param_GP_SettableRatio,0),0),0)</f>
        <v/>
      </c>
      <c r="BB8" s="14">
        <f>IFERROR(IF(AND(BB$4&gt;=$F8,BB$4&lt;=$G8,$D8&gt;0),ROUND($H8*(1-param_GP_LayMortWeekly)^INT((BB$4-$F8)/7)*(param_GP_HDP/100)*7*param_GP_SettableRatio,0),0),0)</f>
        <v/>
      </c>
      <c r="BC8" s="14">
        <f>IFERROR(IF(AND(BC$4&gt;=$F8,BC$4&lt;=$G8,$D8&gt;0),ROUND($H8*(1-param_GP_LayMortWeekly)^INT((BC$4-$F8)/7)*(param_GP_HDP/100)*7*param_GP_SettableRatio,0),0),0)</f>
        <v/>
      </c>
      <c r="BD8" s="14">
        <f>IFERROR(IF(AND(BD$4&gt;=$F8,BD$4&lt;=$G8,$D8&gt;0),ROUND($H8*(1-param_GP_LayMortWeekly)^INT((BD$4-$F8)/7)*(param_GP_HDP/100)*7*param_GP_SettableRatio,0),0),0)</f>
        <v/>
      </c>
      <c r="BE8" s="14">
        <f>IFERROR(IF(AND(BE$4&gt;=$F8,BE$4&lt;=$G8,$D8&gt;0),ROUND($H8*(1-param_GP_LayMortWeekly)^INT((BE$4-$F8)/7)*(param_GP_HDP/100)*7*param_GP_SettableRatio,0),0),0)</f>
        <v/>
      </c>
      <c r="BF8" s="14">
        <f>IFERROR(IF(AND(BF$4&gt;=$F8,BF$4&lt;=$G8,$D8&gt;0),ROUND($H8*(1-param_GP_LayMortWeekly)^INT((BF$4-$F8)/7)*(param_GP_HDP/100)*7*param_GP_SettableRatio,0),0),0)</f>
        <v/>
      </c>
      <c r="BG8" s="14">
        <f>IFERROR(IF(AND(BG$4&gt;=$F8,BG$4&lt;=$G8,$D8&gt;0),ROUND($H8*(1-param_GP_LayMortWeekly)^INT((BG$4-$F8)/7)*(param_GP_HDP/100)*7*param_GP_SettableRatio,0),0),0)</f>
        <v/>
      </c>
      <c r="BH8" s="14">
        <f>IFERROR(IF(AND(BH$4&gt;=$F8,BH$4&lt;=$G8,$D8&gt;0),ROUND($H8*(1-param_GP_LayMortWeekly)^INT((BH$4-$F8)/7)*(param_GP_HDP/100)*7*param_GP_SettableRatio,0),0),0)</f>
        <v/>
      </c>
    </row>
    <row r="9" ht="16" customHeight="1">
      <c r="A9" s="9" t="inlineStr">
        <is>
          <t>GP-4</t>
        </is>
      </c>
      <c r="B9" s="9" t="inlineStr">
        <is>
          <t>M-A</t>
        </is>
      </c>
      <c r="C9" s="10" t="n"/>
      <c r="D9" s="11" t="n"/>
      <c r="E9" s="12">
        <f>IF($D9&gt;0,$C9+param_GP_RearingWeeks*7,"")</f>
        <v/>
      </c>
      <c r="F9" s="12">
        <f>IF($E9&lt;&gt;"", $E9+param_GP_PreLayWeeks*7,"")</f>
        <v/>
      </c>
      <c r="G9" s="12">
        <f>IF($F9&lt;&gt;"", $F9+param_GP_LayingWeeks*7,"")</f>
        <v/>
      </c>
      <c r="H9" s="13">
        <f>IF($D9&gt;0,ROUND($D9*(1-param_GP_RearingMortality)*(1-param_GP_PreLayMortality),0),0)</f>
        <v/>
      </c>
      <c r="I9" s="14">
        <f>IFERROR(IF(AND(I$4&gt;=$F9,I$4&lt;=$G9,$D9&gt;0),ROUND($H9*(1-param_GP_LayMortWeekly)^INT((I$4-$F9)/7)*(param_GP_HDP/100)*7*param_GP_SettableRatio,0),0),0)</f>
        <v/>
      </c>
      <c r="J9" s="14">
        <f>IFERROR(IF(AND(J$4&gt;=$F9,J$4&lt;=$G9,$D9&gt;0),ROUND($H9*(1-param_GP_LayMortWeekly)^INT((J$4-$F9)/7)*(param_GP_HDP/100)*7*param_GP_SettableRatio,0),0),0)</f>
        <v/>
      </c>
      <c r="K9" s="14">
        <f>IFERROR(IF(AND(K$4&gt;=$F9,K$4&lt;=$G9,$D9&gt;0),ROUND($H9*(1-param_GP_LayMortWeekly)^INT((K$4-$F9)/7)*(param_GP_HDP/100)*7*param_GP_SettableRatio,0),0),0)</f>
        <v/>
      </c>
      <c r="L9" s="14">
        <f>IFERROR(IF(AND(L$4&gt;=$F9,L$4&lt;=$G9,$D9&gt;0),ROUND($H9*(1-param_GP_LayMortWeekly)^INT((L$4-$F9)/7)*(param_GP_HDP/100)*7*param_GP_SettableRatio,0),0),0)</f>
        <v/>
      </c>
      <c r="M9" s="14">
        <f>IFERROR(IF(AND(M$4&gt;=$F9,M$4&lt;=$G9,$D9&gt;0),ROUND($H9*(1-param_GP_LayMortWeekly)^INT((M$4-$F9)/7)*(param_GP_HDP/100)*7*param_GP_SettableRatio,0),0),0)</f>
        <v/>
      </c>
      <c r="N9" s="14">
        <f>IFERROR(IF(AND(N$4&gt;=$F9,N$4&lt;=$G9,$D9&gt;0),ROUND($H9*(1-param_GP_LayMortWeekly)^INT((N$4-$F9)/7)*(param_GP_HDP/100)*7*param_GP_SettableRatio,0),0),0)</f>
        <v/>
      </c>
      <c r="O9" s="14">
        <f>IFERROR(IF(AND(O$4&gt;=$F9,O$4&lt;=$G9,$D9&gt;0),ROUND($H9*(1-param_GP_LayMortWeekly)^INT((O$4-$F9)/7)*(param_GP_HDP/100)*7*param_GP_SettableRatio,0),0),0)</f>
        <v/>
      </c>
      <c r="P9" s="14">
        <f>IFERROR(IF(AND(P$4&gt;=$F9,P$4&lt;=$G9,$D9&gt;0),ROUND($H9*(1-param_GP_LayMortWeekly)^INT((P$4-$F9)/7)*(param_GP_HDP/100)*7*param_GP_SettableRatio,0),0),0)</f>
        <v/>
      </c>
      <c r="Q9" s="14">
        <f>IFERROR(IF(AND(Q$4&gt;=$F9,Q$4&lt;=$G9,$D9&gt;0),ROUND($H9*(1-param_GP_LayMortWeekly)^INT((Q$4-$F9)/7)*(param_GP_HDP/100)*7*param_GP_SettableRatio,0),0),0)</f>
        <v/>
      </c>
      <c r="R9" s="14">
        <f>IFERROR(IF(AND(R$4&gt;=$F9,R$4&lt;=$G9,$D9&gt;0),ROUND($H9*(1-param_GP_LayMortWeekly)^INT((R$4-$F9)/7)*(param_GP_HDP/100)*7*param_GP_SettableRatio,0),0),0)</f>
        <v/>
      </c>
      <c r="S9" s="14">
        <f>IFERROR(IF(AND(S$4&gt;=$F9,S$4&lt;=$G9,$D9&gt;0),ROUND($H9*(1-param_GP_LayMortWeekly)^INT((S$4-$F9)/7)*(param_GP_HDP/100)*7*param_GP_SettableRatio,0),0),0)</f>
        <v/>
      </c>
      <c r="T9" s="14">
        <f>IFERROR(IF(AND(T$4&gt;=$F9,T$4&lt;=$G9,$D9&gt;0),ROUND($H9*(1-param_GP_LayMortWeekly)^INT((T$4-$F9)/7)*(param_GP_HDP/100)*7*param_GP_SettableRatio,0),0),0)</f>
        <v/>
      </c>
      <c r="U9" s="14">
        <f>IFERROR(IF(AND(U$4&gt;=$F9,U$4&lt;=$G9,$D9&gt;0),ROUND($H9*(1-param_GP_LayMortWeekly)^INT((U$4-$F9)/7)*(param_GP_HDP/100)*7*param_GP_SettableRatio,0),0),0)</f>
        <v/>
      </c>
      <c r="V9" s="14">
        <f>IFERROR(IF(AND(V$4&gt;=$F9,V$4&lt;=$G9,$D9&gt;0),ROUND($H9*(1-param_GP_LayMortWeekly)^INT((V$4-$F9)/7)*(param_GP_HDP/100)*7*param_GP_SettableRatio,0),0),0)</f>
        <v/>
      </c>
      <c r="W9" s="14">
        <f>IFERROR(IF(AND(W$4&gt;=$F9,W$4&lt;=$G9,$D9&gt;0),ROUND($H9*(1-param_GP_LayMortWeekly)^INT((W$4-$F9)/7)*(param_GP_HDP/100)*7*param_GP_SettableRatio,0),0),0)</f>
        <v/>
      </c>
      <c r="X9" s="14">
        <f>IFERROR(IF(AND(X$4&gt;=$F9,X$4&lt;=$G9,$D9&gt;0),ROUND($H9*(1-param_GP_LayMortWeekly)^INT((X$4-$F9)/7)*(param_GP_HDP/100)*7*param_GP_SettableRatio,0),0),0)</f>
        <v/>
      </c>
      <c r="Y9" s="14">
        <f>IFERROR(IF(AND(Y$4&gt;=$F9,Y$4&lt;=$G9,$D9&gt;0),ROUND($H9*(1-param_GP_LayMortWeekly)^INT((Y$4-$F9)/7)*(param_GP_HDP/100)*7*param_GP_SettableRatio,0),0),0)</f>
        <v/>
      </c>
      <c r="Z9" s="14">
        <f>IFERROR(IF(AND(Z$4&gt;=$F9,Z$4&lt;=$G9,$D9&gt;0),ROUND($H9*(1-param_GP_LayMortWeekly)^INT((Z$4-$F9)/7)*(param_GP_HDP/100)*7*param_GP_SettableRatio,0),0),0)</f>
        <v/>
      </c>
      <c r="AA9" s="14">
        <f>IFERROR(IF(AND(AA$4&gt;=$F9,AA$4&lt;=$G9,$D9&gt;0),ROUND($H9*(1-param_GP_LayMortWeekly)^INT((AA$4-$F9)/7)*(param_GP_HDP/100)*7*param_GP_SettableRatio,0),0),0)</f>
        <v/>
      </c>
      <c r="AB9" s="14">
        <f>IFERROR(IF(AND(AB$4&gt;=$F9,AB$4&lt;=$G9,$D9&gt;0),ROUND($H9*(1-param_GP_LayMortWeekly)^INT((AB$4-$F9)/7)*(param_GP_HDP/100)*7*param_GP_SettableRatio,0),0),0)</f>
        <v/>
      </c>
      <c r="AC9" s="14">
        <f>IFERROR(IF(AND(AC$4&gt;=$F9,AC$4&lt;=$G9,$D9&gt;0),ROUND($H9*(1-param_GP_LayMortWeekly)^INT((AC$4-$F9)/7)*(param_GP_HDP/100)*7*param_GP_SettableRatio,0),0),0)</f>
        <v/>
      </c>
      <c r="AD9" s="14">
        <f>IFERROR(IF(AND(AD$4&gt;=$F9,AD$4&lt;=$G9,$D9&gt;0),ROUND($H9*(1-param_GP_LayMortWeekly)^INT((AD$4-$F9)/7)*(param_GP_HDP/100)*7*param_GP_SettableRatio,0),0),0)</f>
        <v/>
      </c>
      <c r="AE9" s="14">
        <f>IFERROR(IF(AND(AE$4&gt;=$F9,AE$4&lt;=$G9,$D9&gt;0),ROUND($H9*(1-param_GP_LayMortWeekly)^INT((AE$4-$F9)/7)*(param_GP_HDP/100)*7*param_GP_SettableRatio,0),0),0)</f>
        <v/>
      </c>
      <c r="AF9" s="14">
        <f>IFERROR(IF(AND(AF$4&gt;=$F9,AF$4&lt;=$G9,$D9&gt;0),ROUND($H9*(1-param_GP_LayMortWeekly)^INT((AF$4-$F9)/7)*(param_GP_HDP/100)*7*param_GP_SettableRatio,0),0),0)</f>
        <v/>
      </c>
      <c r="AG9" s="14">
        <f>IFERROR(IF(AND(AG$4&gt;=$F9,AG$4&lt;=$G9,$D9&gt;0),ROUND($H9*(1-param_GP_LayMortWeekly)^INT((AG$4-$F9)/7)*(param_GP_HDP/100)*7*param_GP_SettableRatio,0),0),0)</f>
        <v/>
      </c>
      <c r="AH9" s="14">
        <f>IFERROR(IF(AND(AH$4&gt;=$F9,AH$4&lt;=$G9,$D9&gt;0),ROUND($H9*(1-param_GP_LayMortWeekly)^INT((AH$4-$F9)/7)*(param_GP_HDP/100)*7*param_GP_SettableRatio,0),0),0)</f>
        <v/>
      </c>
      <c r="AI9" s="14">
        <f>IFERROR(IF(AND(AI$4&gt;=$F9,AI$4&lt;=$G9,$D9&gt;0),ROUND($H9*(1-param_GP_LayMortWeekly)^INT((AI$4-$F9)/7)*(param_GP_HDP/100)*7*param_GP_SettableRatio,0),0),0)</f>
        <v/>
      </c>
      <c r="AJ9" s="14">
        <f>IFERROR(IF(AND(AJ$4&gt;=$F9,AJ$4&lt;=$G9,$D9&gt;0),ROUND($H9*(1-param_GP_LayMortWeekly)^INT((AJ$4-$F9)/7)*(param_GP_HDP/100)*7*param_GP_SettableRatio,0),0),0)</f>
        <v/>
      </c>
      <c r="AK9" s="14">
        <f>IFERROR(IF(AND(AK$4&gt;=$F9,AK$4&lt;=$G9,$D9&gt;0),ROUND($H9*(1-param_GP_LayMortWeekly)^INT((AK$4-$F9)/7)*(param_GP_HDP/100)*7*param_GP_SettableRatio,0),0),0)</f>
        <v/>
      </c>
      <c r="AL9" s="14">
        <f>IFERROR(IF(AND(AL$4&gt;=$F9,AL$4&lt;=$G9,$D9&gt;0),ROUND($H9*(1-param_GP_LayMortWeekly)^INT((AL$4-$F9)/7)*(param_GP_HDP/100)*7*param_GP_SettableRatio,0),0),0)</f>
        <v/>
      </c>
      <c r="AM9" s="14">
        <f>IFERROR(IF(AND(AM$4&gt;=$F9,AM$4&lt;=$G9,$D9&gt;0),ROUND($H9*(1-param_GP_LayMortWeekly)^INT((AM$4-$F9)/7)*(param_GP_HDP/100)*7*param_GP_SettableRatio,0),0),0)</f>
        <v/>
      </c>
      <c r="AN9" s="14">
        <f>IFERROR(IF(AND(AN$4&gt;=$F9,AN$4&lt;=$G9,$D9&gt;0),ROUND($H9*(1-param_GP_LayMortWeekly)^INT((AN$4-$F9)/7)*(param_GP_HDP/100)*7*param_GP_SettableRatio,0),0),0)</f>
        <v/>
      </c>
      <c r="AO9" s="14">
        <f>IFERROR(IF(AND(AO$4&gt;=$F9,AO$4&lt;=$G9,$D9&gt;0),ROUND($H9*(1-param_GP_LayMortWeekly)^INT((AO$4-$F9)/7)*(param_GP_HDP/100)*7*param_GP_SettableRatio,0),0),0)</f>
        <v/>
      </c>
      <c r="AP9" s="14">
        <f>IFERROR(IF(AND(AP$4&gt;=$F9,AP$4&lt;=$G9,$D9&gt;0),ROUND($H9*(1-param_GP_LayMortWeekly)^INT((AP$4-$F9)/7)*(param_GP_HDP/100)*7*param_GP_SettableRatio,0),0),0)</f>
        <v/>
      </c>
      <c r="AQ9" s="14">
        <f>IFERROR(IF(AND(AQ$4&gt;=$F9,AQ$4&lt;=$G9,$D9&gt;0),ROUND($H9*(1-param_GP_LayMortWeekly)^INT((AQ$4-$F9)/7)*(param_GP_HDP/100)*7*param_GP_SettableRatio,0),0),0)</f>
        <v/>
      </c>
      <c r="AR9" s="14">
        <f>IFERROR(IF(AND(AR$4&gt;=$F9,AR$4&lt;=$G9,$D9&gt;0),ROUND($H9*(1-param_GP_LayMortWeekly)^INT((AR$4-$F9)/7)*(param_GP_HDP/100)*7*param_GP_SettableRatio,0),0),0)</f>
        <v/>
      </c>
      <c r="AS9" s="14">
        <f>IFERROR(IF(AND(AS$4&gt;=$F9,AS$4&lt;=$G9,$D9&gt;0),ROUND($H9*(1-param_GP_LayMortWeekly)^INT((AS$4-$F9)/7)*(param_GP_HDP/100)*7*param_GP_SettableRatio,0),0),0)</f>
        <v/>
      </c>
      <c r="AT9" s="14">
        <f>IFERROR(IF(AND(AT$4&gt;=$F9,AT$4&lt;=$G9,$D9&gt;0),ROUND($H9*(1-param_GP_LayMortWeekly)^INT((AT$4-$F9)/7)*(param_GP_HDP/100)*7*param_GP_SettableRatio,0),0),0)</f>
        <v/>
      </c>
      <c r="AU9" s="14">
        <f>IFERROR(IF(AND(AU$4&gt;=$F9,AU$4&lt;=$G9,$D9&gt;0),ROUND($H9*(1-param_GP_LayMortWeekly)^INT((AU$4-$F9)/7)*(param_GP_HDP/100)*7*param_GP_SettableRatio,0),0),0)</f>
        <v/>
      </c>
      <c r="AV9" s="14">
        <f>IFERROR(IF(AND(AV$4&gt;=$F9,AV$4&lt;=$G9,$D9&gt;0),ROUND($H9*(1-param_GP_LayMortWeekly)^INT((AV$4-$F9)/7)*(param_GP_HDP/100)*7*param_GP_SettableRatio,0),0),0)</f>
        <v/>
      </c>
      <c r="AW9" s="14">
        <f>IFERROR(IF(AND(AW$4&gt;=$F9,AW$4&lt;=$G9,$D9&gt;0),ROUND($H9*(1-param_GP_LayMortWeekly)^INT((AW$4-$F9)/7)*(param_GP_HDP/100)*7*param_GP_SettableRatio,0),0),0)</f>
        <v/>
      </c>
      <c r="AX9" s="14">
        <f>IFERROR(IF(AND(AX$4&gt;=$F9,AX$4&lt;=$G9,$D9&gt;0),ROUND($H9*(1-param_GP_LayMortWeekly)^INT((AX$4-$F9)/7)*(param_GP_HDP/100)*7*param_GP_SettableRatio,0),0),0)</f>
        <v/>
      </c>
      <c r="AY9" s="14">
        <f>IFERROR(IF(AND(AY$4&gt;=$F9,AY$4&lt;=$G9,$D9&gt;0),ROUND($H9*(1-param_GP_LayMortWeekly)^INT((AY$4-$F9)/7)*(param_GP_HDP/100)*7*param_GP_SettableRatio,0),0),0)</f>
        <v/>
      </c>
      <c r="AZ9" s="14">
        <f>IFERROR(IF(AND(AZ$4&gt;=$F9,AZ$4&lt;=$G9,$D9&gt;0),ROUND($H9*(1-param_GP_LayMortWeekly)^INT((AZ$4-$F9)/7)*(param_GP_HDP/100)*7*param_GP_SettableRatio,0),0),0)</f>
        <v/>
      </c>
      <c r="BA9" s="14">
        <f>IFERROR(IF(AND(BA$4&gt;=$F9,BA$4&lt;=$G9,$D9&gt;0),ROUND($H9*(1-param_GP_LayMortWeekly)^INT((BA$4-$F9)/7)*(param_GP_HDP/100)*7*param_GP_SettableRatio,0),0),0)</f>
        <v/>
      </c>
      <c r="BB9" s="14">
        <f>IFERROR(IF(AND(BB$4&gt;=$F9,BB$4&lt;=$G9,$D9&gt;0),ROUND($H9*(1-param_GP_LayMortWeekly)^INT((BB$4-$F9)/7)*(param_GP_HDP/100)*7*param_GP_SettableRatio,0),0),0)</f>
        <v/>
      </c>
      <c r="BC9" s="14">
        <f>IFERROR(IF(AND(BC$4&gt;=$F9,BC$4&lt;=$G9,$D9&gt;0),ROUND($H9*(1-param_GP_LayMortWeekly)^INT((BC$4-$F9)/7)*(param_GP_HDP/100)*7*param_GP_SettableRatio,0),0),0)</f>
        <v/>
      </c>
      <c r="BD9" s="14">
        <f>IFERROR(IF(AND(BD$4&gt;=$F9,BD$4&lt;=$G9,$D9&gt;0),ROUND($H9*(1-param_GP_LayMortWeekly)^INT((BD$4-$F9)/7)*(param_GP_HDP/100)*7*param_GP_SettableRatio,0),0),0)</f>
        <v/>
      </c>
      <c r="BE9" s="14">
        <f>IFERROR(IF(AND(BE$4&gt;=$F9,BE$4&lt;=$G9,$D9&gt;0),ROUND($H9*(1-param_GP_LayMortWeekly)^INT((BE$4-$F9)/7)*(param_GP_HDP/100)*7*param_GP_SettableRatio,0),0),0)</f>
        <v/>
      </c>
      <c r="BF9" s="14">
        <f>IFERROR(IF(AND(BF$4&gt;=$F9,BF$4&lt;=$G9,$D9&gt;0),ROUND($H9*(1-param_GP_LayMortWeekly)^INT((BF$4-$F9)/7)*(param_GP_HDP/100)*7*param_GP_SettableRatio,0),0),0)</f>
        <v/>
      </c>
      <c r="BG9" s="14">
        <f>IFERROR(IF(AND(BG$4&gt;=$F9,BG$4&lt;=$G9,$D9&gt;0),ROUND($H9*(1-param_GP_LayMortWeekly)^INT((BG$4-$F9)/7)*(param_GP_HDP/100)*7*param_GP_SettableRatio,0),0),0)</f>
        <v/>
      </c>
      <c r="BH9" s="14">
        <f>IFERROR(IF(AND(BH$4&gt;=$F9,BH$4&lt;=$G9,$D9&gt;0),ROUND($H9*(1-param_GP_LayMortWeekly)^INT((BH$4-$F9)/7)*(param_GP_HDP/100)*7*param_GP_SettableRatio,0),0),0)</f>
        <v/>
      </c>
    </row>
    <row r="10" ht="16" customHeight="1">
      <c r="A10" s="15" t="inlineStr">
        <is>
          <t>GP-5</t>
        </is>
      </c>
      <c r="B10" s="16" t="inlineStr"/>
      <c r="C10" s="10" t="n"/>
      <c r="D10" s="11" t="n"/>
      <c r="E10" s="12">
        <f>IF($D10&gt;0,$C10+param_GP_RearingWeeks*7,"")</f>
        <v/>
      </c>
      <c r="F10" s="12">
        <f>IF($E10&lt;&gt;"", $E10+param_GP_PreLayWeeks*7,"")</f>
        <v/>
      </c>
      <c r="G10" s="12">
        <f>IF($F10&lt;&gt;"", $F10+param_GP_LayingWeeks*7,"")</f>
        <v/>
      </c>
      <c r="H10" s="13">
        <f>IF($D10&gt;0,ROUND($D10*(1-param_GP_RearingMortality)*(1-param_GP_PreLayMortality),0),0)</f>
        <v/>
      </c>
      <c r="I10" s="14">
        <f>IFERROR(IF(AND(I$4&gt;=$F10,I$4&lt;=$G10,$D10&gt;0),ROUND($H10*(1-param_GP_LayMortWeekly)^INT((I$4-$F10)/7)*(param_GP_HDP/100)*7*param_GP_SettableRatio,0),0),0)</f>
        <v/>
      </c>
      <c r="J10" s="14">
        <f>IFERROR(IF(AND(J$4&gt;=$F10,J$4&lt;=$G10,$D10&gt;0),ROUND($H10*(1-param_GP_LayMortWeekly)^INT((J$4-$F10)/7)*(param_GP_HDP/100)*7*param_GP_SettableRatio,0),0),0)</f>
        <v/>
      </c>
      <c r="K10" s="14">
        <f>IFERROR(IF(AND(K$4&gt;=$F10,K$4&lt;=$G10,$D10&gt;0),ROUND($H10*(1-param_GP_LayMortWeekly)^INT((K$4-$F10)/7)*(param_GP_HDP/100)*7*param_GP_SettableRatio,0),0),0)</f>
        <v/>
      </c>
      <c r="L10" s="14">
        <f>IFERROR(IF(AND(L$4&gt;=$F10,L$4&lt;=$G10,$D10&gt;0),ROUND($H10*(1-param_GP_LayMortWeekly)^INT((L$4-$F10)/7)*(param_GP_HDP/100)*7*param_GP_SettableRatio,0),0),0)</f>
        <v/>
      </c>
      <c r="M10" s="14">
        <f>IFERROR(IF(AND(M$4&gt;=$F10,M$4&lt;=$G10,$D10&gt;0),ROUND($H10*(1-param_GP_LayMortWeekly)^INT((M$4-$F10)/7)*(param_GP_HDP/100)*7*param_GP_SettableRatio,0),0),0)</f>
        <v/>
      </c>
      <c r="N10" s="14">
        <f>IFERROR(IF(AND(N$4&gt;=$F10,N$4&lt;=$G10,$D10&gt;0),ROUND($H10*(1-param_GP_LayMortWeekly)^INT((N$4-$F10)/7)*(param_GP_HDP/100)*7*param_GP_SettableRatio,0),0),0)</f>
        <v/>
      </c>
      <c r="O10" s="14">
        <f>IFERROR(IF(AND(O$4&gt;=$F10,O$4&lt;=$G10,$D10&gt;0),ROUND($H10*(1-param_GP_LayMortWeekly)^INT((O$4-$F10)/7)*(param_GP_HDP/100)*7*param_GP_SettableRatio,0),0),0)</f>
        <v/>
      </c>
      <c r="P10" s="14">
        <f>IFERROR(IF(AND(P$4&gt;=$F10,P$4&lt;=$G10,$D10&gt;0),ROUND($H10*(1-param_GP_LayMortWeekly)^INT((P$4-$F10)/7)*(param_GP_HDP/100)*7*param_GP_SettableRatio,0),0),0)</f>
        <v/>
      </c>
      <c r="Q10" s="14">
        <f>IFERROR(IF(AND(Q$4&gt;=$F10,Q$4&lt;=$G10,$D10&gt;0),ROUND($H10*(1-param_GP_LayMortWeekly)^INT((Q$4-$F10)/7)*(param_GP_HDP/100)*7*param_GP_SettableRatio,0),0),0)</f>
        <v/>
      </c>
      <c r="R10" s="14">
        <f>IFERROR(IF(AND(R$4&gt;=$F10,R$4&lt;=$G10,$D10&gt;0),ROUND($H10*(1-param_GP_LayMortWeekly)^INT((R$4-$F10)/7)*(param_GP_HDP/100)*7*param_GP_SettableRatio,0),0),0)</f>
        <v/>
      </c>
      <c r="S10" s="14">
        <f>IFERROR(IF(AND(S$4&gt;=$F10,S$4&lt;=$G10,$D10&gt;0),ROUND($H10*(1-param_GP_LayMortWeekly)^INT((S$4-$F10)/7)*(param_GP_HDP/100)*7*param_GP_SettableRatio,0),0),0)</f>
        <v/>
      </c>
      <c r="T10" s="14">
        <f>IFERROR(IF(AND(T$4&gt;=$F10,T$4&lt;=$G10,$D10&gt;0),ROUND($H10*(1-param_GP_LayMortWeekly)^INT((T$4-$F10)/7)*(param_GP_HDP/100)*7*param_GP_SettableRatio,0),0),0)</f>
        <v/>
      </c>
      <c r="U10" s="14">
        <f>IFERROR(IF(AND(U$4&gt;=$F10,U$4&lt;=$G10,$D10&gt;0),ROUND($H10*(1-param_GP_LayMortWeekly)^INT((U$4-$F10)/7)*(param_GP_HDP/100)*7*param_GP_SettableRatio,0),0),0)</f>
        <v/>
      </c>
      <c r="V10" s="14">
        <f>IFERROR(IF(AND(V$4&gt;=$F10,V$4&lt;=$G10,$D10&gt;0),ROUND($H10*(1-param_GP_LayMortWeekly)^INT((V$4-$F10)/7)*(param_GP_HDP/100)*7*param_GP_SettableRatio,0),0),0)</f>
        <v/>
      </c>
      <c r="W10" s="14">
        <f>IFERROR(IF(AND(W$4&gt;=$F10,W$4&lt;=$G10,$D10&gt;0),ROUND($H10*(1-param_GP_LayMortWeekly)^INT((W$4-$F10)/7)*(param_GP_HDP/100)*7*param_GP_SettableRatio,0),0),0)</f>
        <v/>
      </c>
      <c r="X10" s="14">
        <f>IFERROR(IF(AND(X$4&gt;=$F10,X$4&lt;=$G10,$D10&gt;0),ROUND($H10*(1-param_GP_LayMortWeekly)^INT((X$4-$F10)/7)*(param_GP_HDP/100)*7*param_GP_SettableRatio,0),0),0)</f>
        <v/>
      </c>
      <c r="Y10" s="14">
        <f>IFERROR(IF(AND(Y$4&gt;=$F10,Y$4&lt;=$G10,$D10&gt;0),ROUND($H10*(1-param_GP_LayMortWeekly)^INT((Y$4-$F10)/7)*(param_GP_HDP/100)*7*param_GP_SettableRatio,0),0),0)</f>
        <v/>
      </c>
      <c r="Z10" s="14">
        <f>IFERROR(IF(AND(Z$4&gt;=$F10,Z$4&lt;=$G10,$D10&gt;0),ROUND($H10*(1-param_GP_LayMortWeekly)^INT((Z$4-$F10)/7)*(param_GP_HDP/100)*7*param_GP_SettableRatio,0),0),0)</f>
        <v/>
      </c>
      <c r="AA10" s="14">
        <f>IFERROR(IF(AND(AA$4&gt;=$F10,AA$4&lt;=$G10,$D10&gt;0),ROUND($H10*(1-param_GP_LayMortWeekly)^INT((AA$4-$F10)/7)*(param_GP_HDP/100)*7*param_GP_SettableRatio,0),0),0)</f>
        <v/>
      </c>
      <c r="AB10" s="14">
        <f>IFERROR(IF(AND(AB$4&gt;=$F10,AB$4&lt;=$G10,$D10&gt;0),ROUND($H10*(1-param_GP_LayMortWeekly)^INT((AB$4-$F10)/7)*(param_GP_HDP/100)*7*param_GP_SettableRatio,0),0),0)</f>
        <v/>
      </c>
      <c r="AC10" s="14">
        <f>IFERROR(IF(AND(AC$4&gt;=$F10,AC$4&lt;=$G10,$D10&gt;0),ROUND($H10*(1-param_GP_LayMortWeekly)^INT((AC$4-$F10)/7)*(param_GP_HDP/100)*7*param_GP_SettableRatio,0),0),0)</f>
        <v/>
      </c>
      <c r="AD10" s="14">
        <f>IFERROR(IF(AND(AD$4&gt;=$F10,AD$4&lt;=$G10,$D10&gt;0),ROUND($H10*(1-param_GP_LayMortWeekly)^INT((AD$4-$F10)/7)*(param_GP_HDP/100)*7*param_GP_SettableRatio,0),0),0)</f>
        <v/>
      </c>
      <c r="AE10" s="14">
        <f>IFERROR(IF(AND(AE$4&gt;=$F10,AE$4&lt;=$G10,$D10&gt;0),ROUND($H10*(1-param_GP_LayMortWeekly)^INT((AE$4-$F10)/7)*(param_GP_HDP/100)*7*param_GP_SettableRatio,0),0),0)</f>
        <v/>
      </c>
      <c r="AF10" s="14">
        <f>IFERROR(IF(AND(AF$4&gt;=$F10,AF$4&lt;=$G10,$D10&gt;0),ROUND($H10*(1-param_GP_LayMortWeekly)^INT((AF$4-$F10)/7)*(param_GP_HDP/100)*7*param_GP_SettableRatio,0),0),0)</f>
        <v/>
      </c>
      <c r="AG10" s="14">
        <f>IFERROR(IF(AND(AG$4&gt;=$F10,AG$4&lt;=$G10,$D10&gt;0),ROUND($H10*(1-param_GP_LayMortWeekly)^INT((AG$4-$F10)/7)*(param_GP_HDP/100)*7*param_GP_SettableRatio,0),0),0)</f>
        <v/>
      </c>
      <c r="AH10" s="14">
        <f>IFERROR(IF(AND(AH$4&gt;=$F10,AH$4&lt;=$G10,$D10&gt;0),ROUND($H10*(1-param_GP_LayMortWeekly)^INT((AH$4-$F10)/7)*(param_GP_HDP/100)*7*param_GP_SettableRatio,0),0),0)</f>
        <v/>
      </c>
      <c r="AI10" s="14">
        <f>IFERROR(IF(AND(AI$4&gt;=$F10,AI$4&lt;=$G10,$D10&gt;0),ROUND($H10*(1-param_GP_LayMortWeekly)^INT((AI$4-$F10)/7)*(param_GP_HDP/100)*7*param_GP_SettableRatio,0),0),0)</f>
        <v/>
      </c>
      <c r="AJ10" s="14">
        <f>IFERROR(IF(AND(AJ$4&gt;=$F10,AJ$4&lt;=$G10,$D10&gt;0),ROUND($H10*(1-param_GP_LayMortWeekly)^INT((AJ$4-$F10)/7)*(param_GP_HDP/100)*7*param_GP_SettableRatio,0),0),0)</f>
        <v/>
      </c>
      <c r="AK10" s="14">
        <f>IFERROR(IF(AND(AK$4&gt;=$F10,AK$4&lt;=$G10,$D10&gt;0),ROUND($H10*(1-param_GP_LayMortWeekly)^INT((AK$4-$F10)/7)*(param_GP_HDP/100)*7*param_GP_SettableRatio,0),0),0)</f>
        <v/>
      </c>
      <c r="AL10" s="14">
        <f>IFERROR(IF(AND(AL$4&gt;=$F10,AL$4&lt;=$G10,$D10&gt;0),ROUND($H10*(1-param_GP_LayMortWeekly)^INT((AL$4-$F10)/7)*(param_GP_HDP/100)*7*param_GP_SettableRatio,0),0),0)</f>
        <v/>
      </c>
      <c r="AM10" s="14">
        <f>IFERROR(IF(AND(AM$4&gt;=$F10,AM$4&lt;=$G10,$D10&gt;0),ROUND($H10*(1-param_GP_LayMortWeekly)^INT((AM$4-$F10)/7)*(param_GP_HDP/100)*7*param_GP_SettableRatio,0),0),0)</f>
        <v/>
      </c>
      <c r="AN10" s="14">
        <f>IFERROR(IF(AND(AN$4&gt;=$F10,AN$4&lt;=$G10,$D10&gt;0),ROUND($H10*(1-param_GP_LayMortWeekly)^INT((AN$4-$F10)/7)*(param_GP_HDP/100)*7*param_GP_SettableRatio,0),0),0)</f>
        <v/>
      </c>
      <c r="AO10" s="14">
        <f>IFERROR(IF(AND(AO$4&gt;=$F10,AO$4&lt;=$G10,$D10&gt;0),ROUND($H10*(1-param_GP_LayMortWeekly)^INT((AO$4-$F10)/7)*(param_GP_HDP/100)*7*param_GP_SettableRatio,0),0),0)</f>
        <v/>
      </c>
      <c r="AP10" s="14">
        <f>IFERROR(IF(AND(AP$4&gt;=$F10,AP$4&lt;=$G10,$D10&gt;0),ROUND($H10*(1-param_GP_LayMortWeekly)^INT((AP$4-$F10)/7)*(param_GP_HDP/100)*7*param_GP_SettableRatio,0),0),0)</f>
        <v/>
      </c>
      <c r="AQ10" s="14">
        <f>IFERROR(IF(AND(AQ$4&gt;=$F10,AQ$4&lt;=$G10,$D10&gt;0),ROUND($H10*(1-param_GP_LayMortWeekly)^INT((AQ$4-$F10)/7)*(param_GP_HDP/100)*7*param_GP_SettableRatio,0),0),0)</f>
        <v/>
      </c>
      <c r="AR10" s="14">
        <f>IFERROR(IF(AND(AR$4&gt;=$F10,AR$4&lt;=$G10,$D10&gt;0),ROUND($H10*(1-param_GP_LayMortWeekly)^INT((AR$4-$F10)/7)*(param_GP_HDP/100)*7*param_GP_SettableRatio,0),0),0)</f>
        <v/>
      </c>
      <c r="AS10" s="14">
        <f>IFERROR(IF(AND(AS$4&gt;=$F10,AS$4&lt;=$G10,$D10&gt;0),ROUND($H10*(1-param_GP_LayMortWeekly)^INT((AS$4-$F10)/7)*(param_GP_HDP/100)*7*param_GP_SettableRatio,0),0),0)</f>
        <v/>
      </c>
      <c r="AT10" s="14">
        <f>IFERROR(IF(AND(AT$4&gt;=$F10,AT$4&lt;=$G10,$D10&gt;0),ROUND($H10*(1-param_GP_LayMortWeekly)^INT((AT$4-$F10)/7)*(param_GP_HDP/100)*7*param_GP_SettableRatio,0),0),0)</f>
        <v/>
      </c>
      <c r="AU10" s="14">
        <f>IFERROR(IF(AND(AU$4&gt;=$F10,AU$4&lt;=$G10,$D10&gt;0),ROUND($H10*(1-param_GP_LayMortWeekly)^INT((AU$4-$F10)/7)*(param_GP_HDP/100)*7*param_GP_SettableRatio,0),0),0)</f>
        <v/>
      </c>
      <c r="AV10" s="14">
        <f>IFERROR(IF(AND(AV$4&gt;=$F10,AV$4&lt;=$G10,$D10&gt;0),ROUND($H10*(1-param_GP_LayMortWeekly)^INT((AV$4-$F10)/7)*(param_GP_HDP/100)*7*param_GP_SettableRatio,0),0),0)</f>
        <v/>
      </c>
      <c r="AW10" s="14">
        <f>IFERROR(IF(AND(AW$4&gt;=$F10,AW$4&lt;=$G10,$D10&gt;0),ROUND($H10*(1-param_GP_LayMortWeekly)^INT((AW$4-$F10)/7)*(param_GP_HDP/100)*7*param_GP_SettableRatio,0),0),0)</f>
        <v/>
      </c>
      <c r="AX10" s="14">
        <f>IFERROR(IF(AND(AX$4&gt;=$F10,AX$4&lt;=$G10,$D10&gt;0),ROUND($H10*(1-param_GP_LayMortWeekly)^INT((AX$4-$F10)/7)*(param_GP_HDP/100)*7*param_GP_SettableRatio,0),0),0)</f>
        <v/>
      </c>
      <c r="AY10" s="14">
        <f>IFERROR(IF(AND(AY$4&gt;=$F10,AY$4&lt;=$G10,$D10&gt;0),ROUND($H10*(1-param_GP_LayMortWeekly)^INT((AY$4-$F10)/7)*(param_GP_HDP/100)*7*param_GP_SettableRatio,0),0),0)</f>
        <v/>
      </c>
      <c r="AZ10" s="14">
        <f>IFERROR(IF(AND(AZ$4&gt;=$F10,AZ$4&lt;=$G10,$D10&gt;0),ROUND($H10*(1-param_GP_LayMortWeekly)^INT((AZ$4-$F10)/7)*(param_GP_HDP/100)*7*param_GP_SettableRatio,0),0),0)</f>
        <v/>
      </c>
      <c r="BA10" s="14">
        <f>IFERROR(IF(AND(BA$4&gt;=$F10,BA$4&lt;=$G10,$D10&gt;0),ROUND($H10*(1-param_GP_LayMortWeekly)^INT((BA$4-$F10)/7)*(param_GP_HDP/100)*7*param_GP_SettableRatio,0),0),0)</f>
        <v/>
      </c>
      <c r="BB10" s="14">
        <f>IFERROR(IF(AND(BB$4&gt;=$F10,BB$4&lt;=$G10,$D10&gt;0),ROUND($H10*(1-param_GP_LayMortWeekly)^INT((BB$4-$F10)/7)*(param_GP_HDP/100)*7*param_GP_SettableRatio,0),0),0)</f>
        <v/>
      </c>
      <c r="BC10" s="14">
        <f>IFERROR(IF(AND(BC$4&gt;=$F10,BC$4&lt;=$G10,$D10&gt;0),ROUND($H10*(1-param_GP_LayMortWeekly)^INT((BC$4-$F10)/7)*(param_GP_HDP/100)*7*param_GP_SettableRatio,0),0),0)</f>
        <v/>
      </c>
      <c r="BD10" s="14">
        <f>IFERROR(IF(AND(BD$4&gt;=$F10,BD$4&lt;=$G10,$D10&gt;0),ROUND($H10*(1-param_GP_LayMortWeekly)^INT((BD$4-$F10)/7)*(param_GP_HDP/100)*7*param_GP_SettableRatio,0),0),0)</f>
        <v/>
      </c>
      <c r="BE10" s="14">
        <f>IFERROR(IF(AND(BE$4&gt;=$F10,BE$4&lt;=$G10,$D10&gt;0),ROUND($H10*(1-param_GP_LayMortWeekly)^INT((BE$4-$F10)/7)*(param_GP_HDP/100)*7*param_GP_SettableRatio,0),0),0)</f>
        <v/>
      </c>
      <c r="BF10" s="14">
        <f>IFERROR(IF(AND(BF$4&gt;=$F10,BF$4&lt;=$G10,$D10&gt;0),ROUND($H10*(1-param_GP_LayMortWeekly)^INT((BF$4-$F10)/7)*(param_GP_HDP/100)*7*param_GP_SettableRatio,0),0),0)</f>
        <v/>
      </c>
      <c r="BG10" s="14">
        <f>IFERROR(IF(AND(BG$4&gt;=$F10,BG$4&lt;=$G10,$D10&gt;0),ROUND($H10*(1-param_GP_LayMortWeekly)^INT((BG$4-$F10)/7)*(param_GP_HDP/100)*7*param_GP_SettableRatio,0),0),0)</f>
        <v/>
      </c>
      <c r="BH10" s="14">
        <f>IFERROR(IF(AND(BH$4&gt;=$F10,BH$4&lt;=$G10,$D10&gt;0),ROUND($H10*(1-param_GP_LayMortWeekly)^INT((BH$4-$F10)/7)*(param_GP_HDP/100)*7*param_GP_SettableRatio,0),0),0)</f>
        <v/>
      </c>
    </row>
    <row r="11" ht="16" customHeight="1">
      <c r="A11" s="15" t="inlineStr">
        <is>
          <t>GP-6</t>
        </is>
      </c>
      <c r="B11" s="16" t="inlineStr"/>
      <c r="C11" s="10" t="n"/>
      <c r="D11" s="11" t="n"/>
      <c r="E11" s="12">
        <f>IF($D11&gt;0,$C11+param_GP_RearingWeeks*7,"")</f>
        <v/>
      </c>
      <c r="F11" s="12">
        <f>IF($E11&lt;&gt;"", $E11+param_GP_PreLayWeeks*7,"")</f>
        <v/>
      </c>
      <c r="G11" s="12">
        <f>IF($F11&lt;&gt;"", $F11+param_GP_LayingWeeks*7,"")</f>
        <v/>
      </c>
      <c r="H11" s="13">
        <f>IF($D11&gt;0,ROUND($D11*(1-param_GP_RearingMortality)*(1-param_GP_PreLayMortality),0),0)</f>
        <v/>
      </c>
      <c r="I11" s="14">
        <f>IFERROR(IF(AND(I$4&gt;=$F11,I$4&lt;=$G11,$D11&gt;0),ROUND($H11*(1-param_GP_LayMortWeekly)^INT((I$4-$F11)/7)*(param_GP_HDP/100)*7*param_GP_SettableRatio,0),0),0)</f>
        <v/>
      </c>
      <c r="J11" s="14">
        <f>IFERROR(IF(AND(J$4&gt;=$F11,J$4&lt;=$G11,$D11&gt;0),ROUND($H11*(1-param_GP_LayMortWeekly)^INT((J$4-$F11)/7)*(param_GP_HDP/100)*7*param_GP_SettableRatio,0),0),0)</f>
        <v/>
      </c>
      <c r="K11" s="14">
        <f>IFERROR(IF(AND(K$4&gt;=$F11,K$4&lt;=$G11,$D11&gt;0),ROUND($H11*(1-param_GP_LayMortWeekly)^INT((K$4-$F11)/7)*(param_GP_HDP/100)*7*param_GP_SettableRatio,0),0),0)</f>
        <v/>
      </c>
      <c r="L11" s="14">
        <f>IFERROR(IF(AND(L$4&gt;=$F11,L$4&lt;=$G11,$D11&gt;0),ROUND($H11*(1-param_GP_LayMortWeekly)^INT((L$4-$F11)/7)*(param_GP_HDP/100)*7*param_GP_SettableRatio,0),0),0)</f>
        <v/>
      </c>
      <c r="M11" s="14">
        <f>IFERROR(IF(AND(M$4&gt;=$F11,M$4&lt;=$G11,$D11&gt;0),ROUND($H11*(1-param_GP_LayMortWeekly)^INT((M$4-$F11)/7)*(param_GP_HDP/100)*7*param_GP_SettableRatio,0),0),0)</f>
        <v/>
      </c>
      <c r="N11" s="14">
        <f>IFERROR(IF(AND(N$4&gt;=$F11,N$4&lt;=$G11,$D11&gt;0),ROUND($H11*(1-param_GP_LayMortWeekly)^INT((N$4-$F11)/7)*(param_GP_HDP/100)*7*param_GP_SettableRatio,0),0),0)</f>
        <v/>
      </c>
      <c r="O11" s="14">
        <f>IFERROR(IF(AND(O$4&gt;=$F11,O$4&lt;=$G11,$D11&gt;0),ROUND($H11*(1-param_GP_LayMortWeekly)^INT((O$4-$F11)/7)*(param_GP_HDP/100)*7*param_GP_SettableRatio,0),0),0)</f>
        <v/>
      </c>
      <c r="P11" s="14">
        <f>IFERROR(IF(AND(P$4&gt;=$F11,P$4&lt;=$G11,$D11&gt;0),ROUND($H11*(1-param_GP_LayMortWeekly)^INT((P$4-$F11)/7)*(param_GP_HDP/100)*7*param_GP_SettableRatio,0),0),0)</f>
        <v/>
      </c>
      <c r="Q11" s="14">
        <f>IFERROR(IF(AND(Q$4&gt;=$F11,Q$4&lt;=$G11,$D11&gt;0),ROUND($H11*(1-param_GP_LayMortWeekly)^INT((Q$4-$F11)/7)*(param_GP_HDP/100)*7*param_GP_SettableRatio,0),0),0)</f>
        <v/>
      </c>
      <c r="R11" s="14">
        <f>IFERROR(IF(AND(R$4&gt;=$F11,R$4&lt;=$G11,$D11&gt;0),ROUND($H11*(1-param_GP_LayMortWeekly)^INT((R$4-$F11)/7)*(param_GP_HDP/100)*7*param_GP_SettableRatio,0),0),0)</f>
        <v/>
      </c>
      <c r="S11" s="14">
        <f>IFERROR(IF(AND(S$4&gt;=$F11,S$4&lt;=$G11,$D11&gt;0),ROUND($H11*(1-param_GP_LayMortWeekly)^INT((S$4-$F11)/7)*(param_GP_HDP/100)*7*param_GP_SettableRatio,0),0),0)</f>
        <v/>
      </c>
      <c r="T11" s="14">
        <f>IFERROR(IF(AND(T$4&gt;=$F11,T$4&lt;=$G11,$D11&gt;0),ROUND($H11*(1-param_GP_LayMortWeekly)^INT((T$4-$F11)/7)*(param_GP_HDP/100)*7*param_GP_SettableRatio,0),0),0)</f>
        <v/>
      </c>
      <c r="U11" s="14">
        <f>IFERROR(IF(AND(U$4&gt;=$F11,U$4&lt;=$G11,$D11&gt;0),ROUND($H11*(1-param_GP_LayMortWeekly)^INT((U$4-$F11)/7)*(param_GP_HDP/100)*7*param_GP_SettableRatio,0),0),0)</f>
        <v/>
      </c>
      <c r="V11" s="14">
        <f>IFERROR(IF(AND(V$4&gt;=$F11,V$4&lt;=$G11,$D11&gt;0),ROUND($H11*(1-param_GP_LayMortWeekly)^INT((V$4-$F11)/7)*(param_GP_HDP/100)*7*param_GP_SettableRatio,0),0),0)</f>
        <v/>
      </c>
      <c r="W11" s="14">
        <f>IFERROR(IF(AND(W$4&gt;=$F11,W$4&lt;=$G11,$D11&gt;0),ROUND($H11*(1-param_GP_LayMortWeekly)^INT((W$4-$F11)/7)*(param_GP_HDP/100)*7*param_GP_SettableRatio,0),0),0)</f>
        <v/>
      </c>
      <c r="X11" s="14">
        <f>IFERROR(IF(AND(X$4&gt;=$F11,X$4&lt;=$G11,$D11&gt;0),ROUND($H11*(1-param_GP_LayMortWeekly)^INT((X$4-$F11)/7)*(param_GP_HDP/100)*7*param_GP_SettableRatio,0),0),0)</f>
        <v/>
      </c>
      <c r="Y11" s="14">
        <f>IFERROR(IF(AND(Y$4&gt;=$F11,Y$4&lt;=$G11,$D11&gt;0),ROUND($H11*(1-param_GP_LayMortWeekly)^INT((Y$4-$F11)/7)*(param_GP_HDP/100)*7*param_GP_SettableRatio,0),0),0)</f>
        <v/>
      </c>
      <c r="Z11" s="14">
        <f>IFERROR(IF(AND(Z$4&gt;=$F11,Z$4&lt;=$G11,$D11&gt;0),ROUND($H11*(1-param_GP_LayMortWeekly)^INT((Z$4-$F11)/7)*(param_GP_HDP/100)*7*param_GP_SettableRatio,0),0),0)</f>
        <v/>
      </c>
      <c r="AA11" s="14">
        <f>IFERROR(IF(AND(AA$4&gt;=$F11,AA$4&lt;=$G11,$D11&gt;0),ROUND($H11*(1-param_GP_LayMortWeekly)^INT((AA$4-$F11)/7)*(param_GP_HDP/100)*7*param_GP_SettableRatio,0),0),0)</f>
        <v/>
      </c>
      <c r="AB11" s="14">
        <f>IFERROR(IF(AND(AB$4&gt;=$F11,AB$4&lt;=$G11,$D11&gt;0),ROUND($H11*(1-param_GP_LayMortWeekly)^INT((AB$4-$F11)/7)*(param_GP_HDP/100)*7*param_GP_SettableRatio,0),0),0)</f>
        <v/>
      </c>
      <c r="AC11" s="14">
        <f>IFERROR(IF(AND(AC$4&gt;=$F11,AC$4&lt;=$G11,$D11&gt;0),ROUND($H11*(1-param_GP_LayMortWeekly)^INT((AC$4-$F11)/7)*(param_GP_HDP/100)*7*param_GP_SettableRatio,0),0),0)</f>
        <v/>
      </c>
      <c r="AD11" s="14">
        <f>IFERROR(IF(AND(AD$4&gt;=$F11,AD$4&lt;=$G11,$D11&gt;0),ROUND($H11*(1-param_GP_LayMortWeekly)^INT((AD$4-$F11)/7)*(param_GP_HDP/100)*7*param_GP_SettableRatio,0),0),0)</f>
        <v/>
      </c>
      <c r="AE11" s="14">
        <f>IFERROR(IF(AND(AE$4&gt;=$F11,AE$4&lt;=$G11,$D11&gt;0),ROUND($H11*(1-param_GP_LayMortWeekly)^INT((AE$4-$F11)/7)*(param_GP_HDP/100)*7*param_GP_SettableRatio,0),0),0)</f>
        <v/>
      </c>
      <c r="AF11" s="14">
        <f>IFERROR(IF(AND(AF$4&gt;=$F11,AF$4&lt;=$G11,$D11&gt;0),ROUND($H11*(1-param_GP_LayMortWeekly)^INT((AF$4-$F11)/7)*(param_GP_HDP/100)*7*param_GP_SettableRatio,0),0),0)</f>
        <v/>
      </c>
      <c r="AG11" s="14">
        <f>IFERROR(IF(AND(AG$4&gt;=$F11,AG$4&lt;=$G11,$D11&gt;0),ROUND($H11*(1-param_GP_LayMortWeekly)^INT((AG$4-$F11)/7)*(param_GP_HDP/100)*7*param_GP_SettableRatio,0),0),0)</f>
        <v/>
      </c>
      <c r="AH11" s="14">
        <f>IFERROR(IF(AND(AH$4&gt;=$F11,AH$4&lt;=$G11,$D11&gt;0),ROUND($H11*(1-param_GP_LayMortWeekly)^INT((AH$4-$F11)/7)*(param_GP_HDP/100)*7*param_GP_SettableRatio,0),0),0)</f>
        <v/>
      </c>
      <c r="AI11" s="14">
        <f>IFERROR(IF(AND(AI$4&gt;=$F11,AI$4&lt;=$G11,$D11&gt;0),ROUND($H11*(1-param_GP_LayMortWeekly)^INT((AI$4-$F11)/7)*(param_GP_HDP/100)*7*param_GP_SettableRatio,0),0),0)</f>
        <v/>
      </c>
      <c r="AJ11" s="14">
        <f>IFERROR(IF(AND(AJ$4&gt;=$F11,AJ$4&lt;=$G11,$D11&gt;0),ROUND($H11*(1-param_GP_LayMortWeekly)^INT((AJ$4-$F11)/7)*(param_GP_HDP/100)*7*param_GP_SettableRatio,0),0),0)</f>
        <v/>
      </c>
      <c r="AK11" s="14">
        <f>IFERROR(IF(AND(AK$4&gt;=$F11,AK$4&lt;=$G11,$D11&gt;0),ROUND($H11*(1-param_GP_LayMortWeekly)^INT((AK$4-$F11)/7)*(param_GP_HDP/100)*7*param_GP_SettableRatio,0),0),0)</f>
        <v/>
      </c>
      <c r="AL11" s="14">
        <f>IFERROR(IF(AND(AL$4&gt;=$F11,AL$4&lt;=$G11,$D11&gt;0),ROUND($H11*(1-param_GP_LayMortWeekly)^INT((AL$4-$F11)/7)*(param_GP_HDP/100)*7*param_GP_SettableRatio,0),0),0)</f>
        <v/>
      </c>
      <c r="AM11" s="14">
        <f>IFERROR(IF(AND(AM$4&gt;=$F11,AM$4&lt;=$G11,$D11&gt;0),ROUND($H11*(1-param_GP_LayMortWeekly)^INT((AM$4-$F11)/7)*(param_GP_HDP/100)*7*param_GP_SettableRatio,0),0),0)</f>
        <v/>
      </c>
      <c r="AN11" s="14">
        <f>IFERROR(IF(AND(AN$4&gt;=$F11,AN$4&lt;=$G11,$D11&gt;0),ROUND($H11*(1-param_GP_LayMortWeekly)^INT((AN$4-$F11)/7)*(param_GP_HDP/100)*7*param_GP_SettableRatio,0),0),0)</f>
        <v/>
      </c>
      <c r="AO11" s="14">
        <f>IFERROR(IF(AND(AO$4&gt;=$F11,AO$4&lt;=$G11,$D11&gt;0),ROUND($H11*(1-param_GP_LayMortWeekly)^INT((AO$4-$F11)/7)*(param_GP_HDP/100)*7*param_GP_SettableRatio,0),0),0)</f>
        <v/>
      </c>
      <c r="AP11" s="14">
        <f>IFERROR(IF(AND(AP$4&gt;=$F11,AP$4&lt;=$G11,$D11&gt;0),ROUND($H11*(1-param_GP_LayMortWeekly)^INT((AP$4-$F11)/7)*(param_GP_HDP/100)*7*param_GP_SettableRatio,0),0),0)</f>
        <v/>
      </c>
      <c r="AQ11" s="14">
        <f>IFERROR(IF(AND(AQ$4&gt;=$F11,AQ$4&lt;=$G11,$D11&gt;0),ROUND($H11*(1-param_GP_LayMortWeekly)^INT((AQ$4-$F11)/7)*(param_GP_HDP/100)*7*param_GP_SettableRatio,0),0),0)</f>
        <v/>
      </c>
      <c r="AR11" s="14">
        <f>IFERROR(IF(AND(AR$4&gt;=$F11,AR$4&lt;=$G11,$D11&gt;0),ROUND($H11*(1-param_GP_LayMortWeekly)^INT((AR$4-$F11)/7)*(param_GP_HDP/100)*7*param_GP_SettableRatio,0),0),0)</f>
        <v/>
      </c>
      <c r="AS11" s="14">
        <f>IFERROR(IF(AND(AS$4&gt;=$F11,AS$4&lt;=$G11,$D11&gt;0),ROUND($H11*(1-param_GP_LayMortWeekly)^INT((AS$4-$F11)/7)*(param_GP_HDP/100)*7*param_GP_SettableRatio,0),0),0)</f>
        <v/>
      </c>
      <c r="AT11" s="14">
        <f>IFERROR(IF(AND(AT$4&gt;=$F11,AT$4&lt;=$G11,$D11&gt;0),ROUND($H11*(1-param_GP_LayMortWeekly)^INT((AT$4-$F11)/7)*(param_GP_HDP/100)*7*param_GP_SettableRatio,0),0),0)</f>
        <v/>
      </c>
      <c r="AU11" s="14">
        <f>IFERROR(IF(AND(AU$4&gt;=$F11,AU$4&lt;=$G11,$D11&gt;0),ROUND($H11*(1-param_GP_LayMortWeekly)^INT((AU$4-$F11)/7)*(param_GP_HDP/100)*7*param_GP_SettableRatio,0),0),0)</f>
        <v/>
      </c>
      <c r="AV11" s="14">
        <f>IFERROR(IF(AND(AV$4&gt;=$F11,AV$4&lt;=$G11,$D11&gt;0),ROUND($H11*(1-param_GP_LayMortWeekly)^INT((AV$4-$F11)/7)*(param_GP_HDP/100)*7*param_GP_SettableRatio,0),0),0)</f>
        <v/>
      </c>
      <c r="AW11" s="14">
        <f>IFERROR(IF(AND(AW$4&gt;=$F11,AW$4&lt;=$G11,$D11&gt;0),ROUND($H11*(1-param_GP_LayMortWeekly)^INT((AW$4-$F11)/7)*(param_GP_HDP/100)*7*param_GP_SettableRatio,0),0),0)</f>
        <v/>
      </c>
      <c r="AX11" s="14">
        <f>IFERROR(IF(AND(AX$4&gt;=$F11,AX$4&lt;=$G11,$D11&gt;0),ROUND($H11*(1-param_GP_LayMortWeekly)^INT((AX$4-$F11)/7)*(param_GP_HDP/100)*7*param_GP_SettableRatio,0),0),0)</f>
        <v/>
      </c>
      <c r="AY11" s="14">
        <f>IFERROR(IF(AND(AY$4&gt;=$F11,AY$4&lt;=$G11,$D11&gt;0),ROUND($H11*(1-param_GP_LayMortWeekly)^INT((AY$4-$F11)/7)*(param_GP_HDP/100)*7*param_GP_SettableRatio,0),0),0)</f>
        <v/>
      </c>
      <c r="AZ11" s="14">
        <f>IFERROR(IF(AND(AZ$4&gt;=$F11,AZ$4&lt;=$G11,$D11&gt;0),ROUND($H11*(1-param_GP_LayMortWeekly)^INT((AZ$4-$F11)/7)*(param_GP_HDP/100)*7*param_GP_SettableRatio,0),0),0)</f>
        <v/>
      </c>
      <c r="BA11" s="14">
        <f>IFERROR(IF(AND(BA$4&gt;=$F11,BA$4&lt;=$G11,$D11&gt;0),ROUND($H11*(1-param_GP_LayMortWeekly)^INT((BA$4-$F11)/7)*(param_GP_HDP/100)*7*param_GP_SettableRatio,0),0),0)</f>
        <v/>
      </c>
      <c r="BB11" s="14">
        <f>IFERROR(IF(AND(BB$4&gt;=$F11,BB$4&lt;=$G11,$D11&gt;0),ROUND($H11*(1-param_GP_LayMortWeekly)^INT((BB$4-$F11)/7)*(param_GP_HDP/100)*7*param_GP_SettableRatio,0),0),0)</f>
        <v/>
      </c>
      <c r="BC11" s="14">
        <f>IFERROR(IF(AND(BC$4&gt;=$F11,BC$4&lt;=$G11,$D11&gt;0),ROUND($H11*(1-param_GP_LayMortWeekly)^INT((BC$4-$F11)/7)*(param_GP_HDP/100)*7*param_GP_SettableRatio,0),0),0)</f>
        <v/>
      </c>
      <c r="BD11" s="14">
        <f>IFERROR(IF(AND(BD$4&gt;=$F11,BD$4&lt;=$G11,$D11&gt;0),ROUND($H11*(1-param_GP_LayMortWeekly)^INT((BD$4-$F11)/7)*(param_GP_HDP/100)*7*param_GP_SettableRatio,0),0),0)</f>
        <v/>
      </c>
      <c r="BE11" s="14">
        <f>IFERROR(IF(AND(BE$4&gt;=$F11,BE$4&lt;=$G11,$D11&gt;0),ROUND($H11*(1-param_GP_LayMortWeekly)^INT((BE$4-$F11)/7)*(param_GP_HDP/100)*7*param_GP_SettableRatio,0),0),0)</f>
        <v/>
      </c>
      <c r="BF11" s="14">
        <f>IFERROR(IF(AND(BF$4&gt;=$F11,BF$4&lt;=$G11,$D11&gt;0),ROUND($H11*(1-param_GP_LayMortWeekly)^INT((BF$4-$F11)/7)*(param_GP_HDP/100)*7*param_GP_SettableRatio,0),0),0)</f>
        <v/>
      </c>
      <c r="BG11" s="14">
        <f>IFERROR(IF(AND(BG$4&gt;=$F11,BG$4&lt;=$G11,$D11&gt;0),ROUND($H11*(1-param_GP_LayMortWeekly)^INT((BG$4-$F11)/7)*(param_GP_HDP/100)*7*param_GP_SettableRatio,0),0),0)</f>
        <v/>
      </c>
      <c r="BH11" s="14">
        <f>IFERROR(IF(AND(BH$4&gt;=$F11,BH$4&lt;=$G11,$D11&gt;0),ROUND($H11*(1-param_GP_LayMortWeekly)^INT((BH$4-$F11)/7)*(param_GP_HDP/100)*7*param_GP_SettableRatio,0),0),0)</f>
        <v/>
      </c>
    </row>
    <row r="12" ht="16" customHeight="1">
      <c r="A12" s="17" t="inlineStr">
        <is>
          <t>AGG</t>
        </is>
      </c>
      <c r="B12" s="18" t="inlineStr">
        <is>
          <t>Aggregate (all lines)</t>
        </is>
      </c>
      <c r="C12" s="10" t="n"/>
      <c r="D12" s="11" t="n"/>
      <c r="E12" s="12">
        <f>IF($D12&gt;0,$C12+param_GP_RearingWeeks*7,"")</f>
        <v/>
      </c>
      <c r="F12" s="12">
        <f>IF($E12&lt;&gt;"",$E12+param_GP_PreLayWeeks*7,"")</f>
        <v/>
      </c>
      <c r="G12" s="12">
        <f>IF($F12&lt;&gt;"",$F12+param_GP_LayingWeeks*7,"")</f>
        <v/>
      </c>
      <c r="H12" s="13">
        <f>IF($D12&gt;0,ROUND($D12*(1-param_GP_RearingMortality)*(1-param_GP_PreLayMortality),0),0)</f>
        <v/>
      </c>
      <c r="I12" s="19">
        <f>IFERROR(IF(AND(I$4&gt;=$F12,I$4&lt;=$G12,$D12&gt;0),ROUND($H12*(1-param_GP_LayMortWeekly)^INT((I$4-$F12)/7)*(param_GP_HDP/100)*7*param_GP_SettableRatio,0),0),0)</f>
        <v/>
      </c>
      <c r="J12" s="19">
        <f>IFERROR(IF(AND(J$4&gt;=$F12,J$4&lt;=$G12,$D12&gt;0),ROUND($H12*(1-param_GP_LayMortWeekly)^INT((J$4-$F12)/7)*(param_GP_HDP/100)*7*param_GP_SettableRatio,0),0),0)</f>
        <v/>
      </c>
      <c r="K12" s="19">
        <f>IFERROR(IF(AND(K$4&gt;=$F12,K$4&lt;=$G12,$D12&gt;0),ROUND($H12*(1-param_GP_LayMortWeekly)^INT((K$4-$F12)/7)*(param_GP_HDP/100)*7*param_GP_SettableRatio,0),0),0)</f>
        <v/>
      </c>
      <c r="L12" s="19">
        <f>IFERROR(IF(AND(L$4&gt;=$F12,L$4&lt;=$G12,$D12&gt;0),ROUND($H12*(1-param_GP_LayMortWeekly)^INT((L$4-$F12)/7)*(param_GP_HDP/100)*7*param_GP_SettableRatio,0),0),0)</f>
        <v/>
      </c>
      <c r="M12" s="19">
        <f>IFERROR(IF(AND(M$4&gt;=$F12,M$4&lt;=$G12,$D12&gt;0),ROUND($H12*(1-param_GP_LayMortWeekly)^INT((M$4-$F12)/7)*(param_GP_HDP/100)*7*param_GP_SettableRatio,0),0),0)</f>
        <v/>
      </c>
      <c r="N12" s="19">
        <f>IFERROR(IF(AND(N$4&gt;=$F12,N$4&lt;=$G12,$D12&gt;0),ROUND($H12*(1-param_GP_LayMortWeekly)^INT((N$4-$F12)/7)*(param_GP_HDP/100)*7*param_GP_SettableRatio,0),0),0)</f>
        <v/>
      </c>
      <c r="O12" s="19">
        <f>IFERROR(IF(AND(O$4&gt;=$F12,O$4&lt;=$G12,$D12&gt;0),ROUND($H12*(1-param_GP_LayMortWeekly)^INT((O$4-$F12)/7)*(param_GP_HDP/100)*7*param_GP_SettableRatio,0),0),0)</f>
        <v/>
      </c>
      <c r="P12" s="19">
        <f>IFERROR(IF(AND(P$4&gt;=$F12,P$4&lt;=$G12,$D12&gt;0),ROUND($H12*(1-param_GP_LayMortWeekly)^INT((P$4-$F12)/7)*(param_GP_HDP/100)*7*param_GP_SettableRatio,0),0),0)</f>
        <v/>
      </c>
      <c r="Q12" s="19">
        <f>IFERROR(IF(AND(Q$4&gt;=$F12,Q$4&lt;=$G12,$D12&gt;0),ROUND($H12*(1-param_GP_LayMortWeekly)^INT((Q$4-$F12)/7)*(param_GP_HDP/100)*7*param_GP_SettableRatio,0),0),0)</f>
        <v/>
      </c>
      <c r="R12" s="19">
        <f>IFERROR(IF(AND(R$4&gt;=$F12,R$4&lt;=$G12,$D12&gt;0),ROUND($H12*(1-param_GP_LayMortWeekly)^INT((R$4-$F12)/7)*(param_GP_HDP/100)*7*param_GP_SettableRatio,0),0),0)</f>
        <v/>
      </c>
      <c r="S12" s="19">
        <f>IFERROR(IF(AND(S$4&gt;=$F12,S$4&lt;=$G12,$D12&gt;0),ROUND($H12*(1-param_GP_LayMortWeekly)^INT((S$4-$F12)/7)*(param_GP_HDP/100)*7*param_GP_SettableRatio,0),0),0)</f>
        <v/>
      </c>
      <c r="T12" s="19">
        <f>IFERROR(IF(AND(T$4&gt;=$F12,T$4&lt;=$G12,$D12&gt;0),ROUND($H12*(1-param_GP_LayMortWeekly)^INT((T$4-$F12)/7)*(param_GP_HDP/100)*7*param_GP_SettableRatio,0),0),0)</f>
        <v/>
      </c>
      <c r="U12" s="19">
        <f>IFERROR(IF(AND(U$4&gt;=$F12,U$4&lt;=$G12,$D12&gt;0),ROUND($H12*(1-param_GP_LayMortWeekly)^INT((U$4-$F12)/7)*(param_GP_HDP/100)*7*param_GP_SettableRatio,0),0),0)</f>
        <v/>
      </c>
      <c r="V12" s="19">
        <f>IFERROR(IF(AND(V$4&gt;=$F12,V$4&lt;=$G12,$D12&gt;0),ROUND($H12*(1-param_GP_LayMortWeekly)^INT((V$4-$F12)/7)*(param_GP_HDP/100)*7*param_GP_SettableRatio,0),0),0)</f>
        <v/>
      </c>
      <c r="W12" s="19">
        <f>IFERROR(IF(AND(W$4&gt;=$F12,W$4&lt;=$G12,$D12&gt;0),ROUND($H12*(1-param_GP_LayMortWeekly)^INT((W$4-$F12)/7)*(param_GP_HDP/100)*7*param_GP_SettableRatio,0),0),0)</f>
        <v/>
      </c>
      <c r="X12" s="19">
        <f>IFERROR(IF(AND(X$4&gt;=$F12,X$4&lt;=$G12,$D12&gt;0),ROUND($H12*(1-param_GP_LayMortWeekly)^INT((X$4-$F12)/7)*(param_GP_HDP/100)*7*param_GP_SettableRatio,0),0),0)</f>
        <v/>
      </c>
      <c r="Y12" s="19">
        <f>IFERROR(IF(AND(Y$4&gt;=$F12,Y$4&lt;=$G12,$D12&gt;0),ROUND($H12*(1-param_GP_LayMortWeekly)^INT((Y$4-$F12)/7)*(param_GP_HDP/100)*7*param_GP_SettableRatio,0),0),0)</f>
        <v/>
      </c>
      <c r="Z12" s="19">
        <f>IFERROR(IF(AND(Z$4&gt;=$F12,Z$4&lt;=$G12,$D12&gt;0),ROUND($H12*(1-param_GP_LayMortWeekly)^INT((Z$4-$F12)/7)*(param_GP_HDP/100)*7*param_GP_SettableRatio,0),0),0)</f>
        <v/>
      </c>
      <c r="AA12" s="19">
        <f>IFERROR(IF(AND(AA$4&gt;=$F12,AA$4&lt;=$G12,$D12&gt;0),ROUND($H12*(1-param_GP_LayMortWeekly)^INT((AA$4-$F12)/7)*(param_GP_HDP/100)*7*param_GP_SettableRatio,0),0),0)</f>
        <v/>
      </c>
      <c r="AB12" s="19">
        <f>IFERROR(IF(AND(AB$4&gt;=$F12,AB$4&lt;=$G12,$D12&gt;0),ROUND($H12*(1-param_GP_LayMortWeekly)^INT((AB$4-$F12)/7)*(param_GP_HDP/100)*7*param_GP_SettableRatio,0),0),0)</f>
        <v/>
      </c>
      <c r="AC12" s="19">
        <f>IFERROR(IF(AND(AC$4&gt;=$F12,AC$4&lt;=$G12,$D12&gt;0),ROUND($H12*(1-param_GP_LayMortWeekly)^INT((AC$4-$F12)/7)*(param_GP_HDP/100)*7*param_GP_SettableRatio,0),0),0)</f>
        <v/>
      </c>
      <c r="AD12" s="19">
        <f>IFERROR(IF(AND(AD$4&gt;=$F12,AD$4&lt;=$G12,$D12&gt;0),ROUND($H12*(1-param_GP_LayMortWeekly)^INT((AD$4-$F12)/7)*(param_GP_HDP/100)*7*param_GP_SettableRatio,0),0),0)</f>
        <v/>
      </c>
      <c r="AE12" s="19">
        <f>IFERROR(IF(AND(AE$4&gt;=$F12,AE$4&lt;=$G12,$D12&gt;0),ROUND($H12*(1-param_GP_LayMortWeekly)^INT((AE$4-$F12)/7)*(param_GP_HDP/100)*7*param_GP_SettableRatio,0),0),0)</f>
        <v/>
      </c>
      <c r="AF12" s="19">
        <f>IFERROR(IF(AND(AF$4&gt;=$F12,AF$4&lt;=$G12,$D12&gt;0),ROUND($H12*(1-param_GP_LayMortWeekly)^INT((AF$4-$F12)/7)*(param_GP_HDP/100)*7*param_GP_SettableRatio,0),0),0)</f>
        <v/>
      </c>
      <c r="AG12" s="19">
        <f>IFERROR(IF(AND(AG$4&gt;=$F12,AG$4&lt;=$G12,$D12&gt;0),ROUND($H12*(1-param_GP_LayMortWeekly)^INT((AG$4-$F12)/7)*(param_GP_HDP/100)*7*param_GP_SettableRatio,0),0),0)</f>
        <v/>
      </c>
      <c r="AH12" s="19">
        <f>IFERROR(IF(AND(AH$4&gt;=$F12,AH$4&lt;=$G12,$D12&gt;0),ROUND($H12*(1-param_GP_LayMortWeekly)^INT((AH$4-$F12)/7)*(param_GP_HDP/100)*7*param_GP_SettableRatio,0),0),0)</f>
        <v/>
      </c>
      <c r="AI12" s="19">
        <f>IFERROR(IF(AND(AI$4&gt;=$F12,AI$4&lt;=$G12,$D12&gt;0),ROUND($H12*(1-param_GP_LayMortWeekly)^INT((AI$4-$F12)/7)*(param_GP_HDP/100)*7*param_GP_SettableRatio,0),0),0)</f>
        <v/>
      </c>
      <c r="AJ12" s="19">
        <f>IFERROR(IF(AND(AJ$4&gt;=$F12,AJ$4&lt;=$G12,$D12&gt;0),ROUND($H12*(1-param_GP_LayMortWeekly)^INT((AJ$4-$F12)/7)*(param_GP_HDP/100)*7*param_GP_SettableRatio,0),0),0)</f>
        <v/>
      </c>
      <c r="AK12" s="19">
        <f>IFERROR(IF(AND(AK$4&gt;=$F12,AK$4&lt;=$G12,$D12&gt;0),ROUND($H12*(1-param_GP_LayMortWeekly)^INT((AK$4-$F12)/7)*(param_GP_HDP/100)*7*param_GP_SettableRatio,0),0),0)</f>
        <v/>
      </c>
      <c r="AL12" s="19">
        <f>IFERROR(IF(AND(AL$4&gt;=$F12,AL$4&lt;=$G12,$D12&gt;0),ROUND($H12*(1-param_GP_LayMortWeekly)^INT((AL$4-$F12)/7)*(param_GP_HDP/100)*7*param_GP_SettableRatio,0),0),0)</f>
        <v/>
      </c>
      <c r="AM12" s="19">
        <f>IFERROR(IF(AND(AM$4&gt;=$F12,AM$4&lt;=$G12,$D12&gt;0),ROUND($H12*(1-param_GP_LayMortWeekly)^INT((AM$4-$F12)/7)*(param_GP_HDP/100)*7*param_GP_SettableRatio,0),0),0)</f>
        <v/>
      </c>
      <c r="AN12" s="19">
        <f>IFERROR(IF(AND(AN$4&gt;=$F12,AN$4&lt;=$G12,$D12&gt;0),ROUND($H12*(1-param_GP_LayMortWeekly)^INT((AN$4-$F12)/7)*(param_GP_HDP/100)*7*param_GP_SettableRatio,0),0),0)</f>
        <v/>
      </c>
      <c r="AO12" s="19">
        <f>IFERROR(IF(AND(AO$4&gt;=$F12,AO$4&lt;=$G12,$D12&gt;0),ROUND($H12*(1-param_GP_LayMortWeekly)^INT((AO$4-$F12)/7)*(param_GP_HDP/100)*7*param_GP_SettableRatio,0),0),0)</f>
        <v/>
      </c>
      <c r="AP12" s="19">
        <f>IFERROR(IF(AND(AP$4&gt;=$F12,AP$4&lt;=$G12,$D12&gt;0),ROUND($H12*(1-param_GP_LayMortWeekly)^INT((AP$4-$F12)/7)*(param_GP_HDP/100)*7*param_GP_SettableRatio,0),0),0)</f>
        <v/>
      </c>
      <c r="AQ12" s="19">
        <f>IFERROR(IF(AND(AQ$4&gt;=$F12,AQ$4&lt;=$G12,$D12&gt;0),ROUND($H12*(1-param_GP_LayMortWeekly)^INT((AQ$4-$F12)/7)*(param_GP_HDP/100)*7*param_GP_SettableRatio,0),0),0)</f>
        <v/>
      </c>
      <c r="AR12" s="19">
        <f>IFERROR(IF(AND(AR$4&gt;=$F12,AR$4&lt;=$G12,$D12&gt;0),ROUND($H12*(1-param_GP_LayMortWeekly)^INT((AR$4-$F12)/7)*(param_GP_HDP/100)*7*param_GP_SettableRatio,0),0),0)</f>
        <v/>
      </c>
      <c r="AS12" s="19">
        <f>IFERROR(IF(AND(AS$4&gt;=$F12,AS$4&lt;=$G12,$D12&gt;0),ROUND($H12*(1-param_GP_LayMortWeekly)^INT((AS$4-$F12)/7)*(param_GP_HDP/100)*7*param_GP_SettableRatio,0),0),0)</f>
        <v/>
      </c>
      <c r="AT12" s="19">
        <f>IFERROR(IF(AND(AT$4&gt;=$F12,AT$4&lt;=$G12,$D12&gt;0),ROUND($H12*(1-param_GP_LayMortWeekly)^INT((AT$4-$F12)/7)*(param_GP_HDP/100)*7*param_GP_SettableRatio,0),0),0)</f>
        <v/>
      </c>
      <c r="AU12" s="19">
        <f>IFERROR(IF(AND(AU$4&gt;=$F12,AU$4&lt;=$G12,$D12&gt;0),ROUND($H12*(1-param_GP_LayMortWeekly)^INT((AU$4-$F12)/7)*(param_GP_HDP/100)*7*param_GP_SettableRatio,0),0),0)</f>
        <v/>
      </c>
      <c r="AV12" s="19">
        <f>IFERROR(IF(AND(AV$4&gt;=$F12,AV$4&lt;=$G12,$D12&gt;0),ROUND($H12*(1-param_GP_LayMortWeekly)^INT((AV$4-$F12)/7)*(param_GP_HDP/100)*7*param_GP_SettableRatio,0),0),0)</f>
        <v/>
      </c>
      <c r="AW12" s="19">
        <f>IFERROR(IF(AND(AW$4&gt;=$F12,AW$4&lt;=$G12,$D12&gt;0),ROUND($H12*(1-param_GP_LayMortWeekly)^INT((AW$4-$F12)/7)*(param_GP_HDP/100)*7*param_GP_SettableRatio,0),0),0)</f>
        <v/>
      </c>
      <c r="AX12" s="19">
        <f>IFERROR(IF(AND(AX$4&gt;=$F12,AX$4&lt;=$G12,$D12&gt;0),ROUND($H12*(1-param_GP_LayMortWeekly)^INT((AX$4-$F12)/7)*(param_GP_HDP/100)*7*param_GP_SettableRatio,0),0),0)</f>
        <v/>
      </c>
      <c r="AY12" s="19">
        <f>IFERROR(IF(AND(AY$4&gt;=$F12,AY$4&lt;=$G12,$D12&gt;0),ROUND($H12*(1-param_GP_LayMortWeekly)^INT((AY$4-$F12)/7)*(param_GP_HDP/100)*7*param_GP_SettableRatio,0),0),0)</f>
        <v/>
      </c>
      <c r="AZ12" s="19">
        <f>IFERROR(IF(AND(AZ$4&gt;=$F12,AZ$4&lt;=$G12,$D12&gt;0),ROUND($H12*(1-param_GP_LayMortWeekly)^INT((AZ$4-$F12)/7)*(param_GP_HDP/100)*7*param_GP_SettableRatio,0),0),0)</f>
        <v/>
      </c>
      <c r="BA12" s="19">
        <f>IFERROR(IF(AND(BA$4&gt;=$F12,BA$4&lt;=$G12,$D12&gt;0),ROUND($H12*(1-param_GP_LayMortWeekly)^INT((BA$4-$F12)/7)*(param_GP_HDP/100)*7*param_GP_SettableRatio,0),0),0)</f>
        <v/>
      </c>
      <c r="BB12" s="19">
        <f>IFERROR(IF(AND(BB$4&gt;=$F12,BB$4&lt;=$G12,$D12&gt;0),ROUND($H12*(1-param_GP_LayMortWeekly)^INT((BB$4-$F12)/7)*(param_GP_HDP/100)*7*param_GP_SettableRatio,0),0),0)</f>
        <v/>
      </c>
      <c r="BC12" s="19">
        <f>IFERROR(IF(AND(BC$4&gt;=$F12,BC$4&lt;=$G12,$D12&gt;0),ROUND($H12*(1-param_GP_LayMortWeekly)^INT((BC$4-$F12)/7)*(param_GP_HDP/100)*7*param_GP_SettableRatio,0),0),0)</f>
        <v/>
      </c>
      <c r="BD12" s="19">
        <f>IFERROR(IF(AND(BD$4&gt;=$F12,BD$4&lt;=$G12,$D12&gt;0),ROUND($H12*(1-param_GP_LayMortWeekly)^INT((BD$4-$F12)/7)*(param_GP_HDP/100)*7*param_GP_SettableRatio,0),0),0)</f>
        <v/>
      </c>
      <c r="BE12" s="19">
        <f>IFERROR(IF(AND(BE$4&gt;=$F12,BE$4&lt;=$G12,$D12&gt;0),ROUND($H12*(1-param_GP_LayMortWeekly)^INT((BE$4-$F12)/7)*(param_GP_HDP/100)*7*param_GP_SettableRatio,0),0),0)</f>
        <v/>
      </c>
      <c r="BF12" s="19">
        <f>IFERROR(IF(AND(BF$4&gt;=$F12,BF$4&lt;=$G12,$D12&gt;0),ROUND($H12*(1-param_GP_LayMortWeekly)^INT((BF$4-$F12)/7)*(param_GP_HDP/100)*7*param_GP_SettableRatio,0),0),0)</f>
        <v/>
      </c>
      <c r="BG12" s="19">
        <f>IFERROR(IF(AND(BG$4&gt;=$F12,BG$4&lt;=$G12,$D12&gt;0),ROUND($H12*(1-param_GP_LayMortWeekly)^INT((BG$4-$F12)/7)*(param_GP_HDP/100)*7*param_GP_SettableRatio,0),0),0)</f>
        <v/>
      </c>
      <c r="BH12" s="19">
        <f>IFERROR(IF(AND(BH$4&gt;=$F12,BH$4&lt;=$G12,$D12&gt;0),ROUND($H12*(1-param_GP_LayMortWeekly)^INT((BH$4-$F12)/7)*(param_GP_HDP/100)*7*param_GP_SettableRatio,0),0),0)</f>
        <v/>
      </c>
    </row>
    <row r="13" ht="5" customHeight="1">
      <c r="A13" s="20" t="n"/>
    </row>
    <row r="14" ht="18" customHeight="1">
      <c r="A14" s="21" t="inlineStr">
        <is>
          <t xml:space="preserve">  WEEKLY TOTALS  (auto-calculated)</t>
        </is>
      </c>
    </row>
    <row r="15" ht="16" customHeight="1">
      <c r="A15" s="22" t="inlineStr">
        <is>
          <t>Total Hens in Rearing  [Plant: GP Rearing Farm]</t>
        </is>
      </c>
      <c r="B15" s="6" t="n"/>
      <c r="C15" s="6" t="n"/>
      <c r="D15" s="6" t="n"/>
      <c r="E15" s="6" t="n"/>
      <c r="F15" s="6" t="n"/>
      <c r="G15" s="6" t="n"/>
      <c r="H15" s="7" t="n"/>
      <c r="I15" s="23">
        <f>IF(param_UseLineDetail="YES",IFERROR(IF(AND(I$4&gt;=$C6,I$4&lt;$E6,$D6&gt;0),$D6,0),0)+IFERROR(IF(AND(I$4&gt;=$C7,I$4&lt;$E7,$D7&gt;0),$D7,0),0)+IFERROR(IF(AND(I$4&gt;=$C8,I$4&lt;$E8,$D8&gt;0),$D8,0),0)+IFERROR(IF(AND(I$4&gt;=$C9,I$4&lt;$E9,$D9&gt;0),$D9,0),0)+IFERROR(IF(AND(I$4&gt;=$C10,I$4&lt;$E10,$D10&gt;0),$D10,0),0)+IFERROR(IF(AND(I$4&gt;=$C11,I$4&lt;$E11,$D11&gt;0),$D11,0),0),I12)</f>
        <v/>
      </c>
      <c r="J15" s="23">
        <f>IF(param_UseLineDetail="YES",IFERROR(IF(AND(J$4&gt;=$C6,J$4&lt;$E6,$D6&gt;0),$D6,0),0)+IFERROR(IF(AND(J$4&gt;=$C7,J$4&lt;$E7,$D7&gt;0),$D7,0),0)+IFERROR(IF(AND(J$4&gt;=$C8,J$4&lt;$E8,$D8&gt;0),$D8,0),0)+IFERROR(IF(AND(J$4&gt;=$C9,J$4&lt;$E9,$D9&gt;0),$D9,0),0)+IFERROR(IF(AND(J$4&gt;=$C10,J$4&lt;$E10,$D10&gt;0),$D10,0),0)+IFERROR(IF(AND(J$4&gt;=$C11,J$4&lt;$E11,$D11&gt;0),$D11,0),0),J12)</f>
        <v/>
      </c>
      <c r="K15" s="23">
        <f>IF(param_UseLineDetail="YES",IFERROR(IF(AND(K$4&gt;=$C6,K$4&lt;$E6,$D6&gt;0),$D6,0),0)+IFERROR(IF(AND(K$4&gt;=$C7,K$4&lt;$E7,$D7&gt;0),$D7,0),0)+IFERROR(IF(AND(K$4&gt;=$C8,K$4&lt;$E8,$D8&gt;0),$D8,0),0)+IFERROR(IF(AND(K$4&gt;=$C9,K$4&lt;$E9,$D9&gt;0),$D9,0),0)+IFERROR(IF(AND(K$4&gt;=$C10,K$4&lt;$E10,$D10&gt;0),$D10,0),0)+IFERROR(IF(AND(K$4&gt;=$C11,K$4&lt;$E11,$D11&gt;0),$D11,0),0),K12)</f>
        <v/>
      </c>
      <c r="L15" s="23">
        <f>IF(param_UseLineDetail="YES",IFERROR(IF(AND(L$4&gt;=$C6,L$4&lt;$E6,$D6&gt;0),$D6,0),0)+IFERROR(IF(AND(L$4&gt;=$C7,L$4&lt;$E7,$D7&gt;0),$D7,0),0)+IFERROR(IF(AND(L$4&gt;=$C8,L$4&lt;$E8,$D8&gt;0),$D8,0),0)+IFERROR(IF(AND(L$4&gt;=$C9,L$4&lt;$E9,$D9&gt;0),$D9,0),0)+IFERROR(IF(AND(L$4&gt;=$C10,L$4&lt;$E10,$D10&gt;0),$D10,0),0)+IFERROR(IF(AND(L$4&gt;=$C11,L$4&lt;$E11,$D11&gt;0),$D11,0),0),L12)</f>
        <v/>
      </c>
      <c r="M15" s="23">
        <f>IF(param_UseLineDetail="YES",IFERROR(IF(AND(M$4&gt;=$C6,M$4&lt;$E6,$D6&gt;0),$D6,0),0)+IFERROR(IF(AND(M$4&gt;=$C7,M$4&lt;$E7,$D7&gt;0),$D7,0),0)+IFERROR(IF(AND(M$4&gt;=$C8,M$4&lt;$E8,$D8&gt;0),$D8,0),0)+IFERROR(IF(AND(M$4&gt;=$C9,M$4&lt;$E9,$D9&gt;0),$D9,0),0)+IFERROR(IF(AND(M$4&gt;=$C10,M$4&lt;$E10,$D10&gt;0),$D10,0),0)+IFERROR(IF(AND(M$4&gt;=$C11,M$4&lt;$E11,$D11&gt;0),$D11,0),0),M12)</f>
        <v/>
      </c>
      <c r="N15" s="23">
        <f>IF(param_UseLineDetail="YES",IFERROR(IF(AND(N$4&gt;=$C6,N$4&lt;$E6,$D6&gt;0),$D6,0),0)+IFERROR(IF(AND(N$4&gt;=$C7,N$4&lt;$E7,$D7&gt;0),$D7,0),0)+IFERROR(IF(AND(N$4&gt;=$C8,N$4&lt;$E8,$D8&gt;0),$D8,0),0)+IFERROR(IF(AND(N$4&gt;=$C9,N$4&lt;$E9,$D9&gt;0),$D9,0),0)+IFERROR(IF(AND(N$4&gt;=$C10,N$4&lt;$E10,$D10&gt;0),$D10,0),0)+IFERROR(IF(AND(N$4&gt;=$C11,N$4&lt;$E11,$D11&gt;0),$D11,0),0),N12)</f>
        <v/>
      </c>
      <c r="O15" s="23">
        <f>IF(param_UseLineDetail="YES",IFERROR(IF(AND(O$4&gt;=$C6,O$4&lt;$E6,$D6&gt;0),$D6,0),0)+IFERROR(IF(AND(O$4&gt;=$C7,O$4&lt;$E7,$D7&gt;0),$D7,0),0)+IFERROR(IF(AND(O$4&gt;=$C8,O$4&lt;$E8,$D8&gt;0),$D8,0),0)+IFERROR(IF(AND(O$4&gt;=$C9,O$4&lt;$E9,$D9&gt;0),$D9,0),0)+IFERROR(IF(AND(O$4&gt;=$C10,O$4&lt;$E10,$D10&gt;0),$D10,0),0)+IFERROR(IF(AND(O$4&gt;=$C11,O$4&lt;$E11,$D11&gt;0),$D11,0),0),O12)</f>
        <v/>
      </c>
      <c r="P15" s="23">
        <f>IF(param_UseLineDetail="YES",IFERROR(IF(AND(P$4&gt;=$C6,P$4&lt;$E6,$D6&gt;0),$D6,0),0)+IFERROR(IF(AND(P$4&gt;=$C7,P$4&lt;$E7,$D7&gt;0),$D7,0),0)+IFERROR(IF(AND(P$4&gt;=$C8,P$4&lt;$E8,$D8&gt;0),$D8,0),0)+IFERROR(IF(AND(P$4&gt;=$C9,P$4&lt;$E9,$D9&gt;0),$D9,0),0)+IFERROR(IF(AND(P$4&gt;=$C10,P$4&lt;$E10,$D10&gt;0),$D10,0),0)+IFERROR(IF(AND(P$4&gt;=$C11,P$4&lt;$E11,$D11&gt;0),$D11,0),0),P12)</f>
        <v/>
      </c>
      <c r="Q15" s="23">
        <f>IF(param_UseLineDetail="YES",IFERROR(IF(AND(Q$4&gt;=$C6,Q$4&lt;$E6,$D6&gt;0),$D6,0),0)+IFERROR(IF(AND(Q$4&gt;=$C7,Q$4&lt;$E7,$D7&gt;0),$D7,0),0)+IFERROR(IF(AND(Q$4&gt;=$C8,Q$4&lt;$E8,$D8&gt;0),$D8,0),0)+IFERROR(IF(AND(Q$4&gt;=$C9,Q$4&lt;$E9,$D9&gt;0),$D9,0),0)+IFERROR(IF(AND(Q$4&gt;=$C10,Q$4&lt;$E10,$D10&gt;0),$D10,0),0)+IFERROR(IF(AND(Q$4&gt;=$C11,Q$4&lt;$E11,$D11&gt;0),$D11,0),0),Q12)</f>
        <v/>
      </c>
      <c r="R15" s="23">
        <f>IF(param_UseLineDetail="YES",IFERROR(IF(AND(R$4&gt;=$C6,R$4&lt;$E6,$D6&gt;0),$D6,0),0)+IFERROR(IF(AND(R$4&gt;=$C7,R$4&lt;$E7,$D7&gt;0),$D7,0),0)+IFERROR(IF(AND(R$4&gt;=$C8,R$4&lt;$E8,$D8&gt;0),$D8,0),0)+IFERROR(IF(AND(R$4&gt;=$C9,R$4&lt;$E9,$D9&gt;0),$D9,0),0)+IFERROR(IF(AND(R$4&gt;=$C10,R$4&lt;$E10,$D10&gt;0),$D10,0),0)+IFERROR(IF(AND(R$4&gt;=$C11,R$4&lt;$E11,$D11&gt;0),$D11,0),0),R12)</f>
        <v/>
      </c>
      <c r="S15" s="23">
        <f>IF(param_UseLineDetail="YES",IFERROR(IF(AND(S$4&gt;=$C6,S$4&lt;$E6,$D6&gt;0),$D6,0),0)+IFERROR(IF(AND(S$4&gt;=$C7,S$4&lt;$E7,$D7&gt;0),$D7,0),0)+IFERROR(IF(AND(S$4&gt;=$C8,S$4&lt;$E8,$D8&gt;0),$D8,0),0)+IFERROR(IF(AND(S$4&gt;=$C9,S$4&lt;$E9,$D9&gt;0),$D9,0),0)+IFERROR(IF(AND(S$4&gt;=$C10,S$4&lt;$E10,$D10&gt;0),$D10,0),0)+IFERROR(IF(AND(S$4&gt;=$C11,S$4&lt;$E11,$D11&gt;0),$D11,0),0),S12)</f>
        <v/>
      </c>
      <c r="T15" s="23">
        <f>IF(param_UseLineDetail="YES",IFERROR(IF(AND(T$4&gt;=$C6,T$4&lt;$E6,$D6&gt;0),$D6,0),0)+IFERROR(IF(AND(T$4&gt;=$C7,T$4&lt;$E7,$D7&gt;0),$D7,0),0)+IFERROR(IF(AND(T$4&gt;=$C8,T$4&lt;$E8,$D8&gt;0),$D8,0),0)+IFERROR(IF(AND(T$4&gt;=$C9,T$4&lt;$E9,$D9&gt;0),$D9,0),0)+IFERROR(IF(AND(T$4&gt;=$C10,T$4&lt;$E10,$D10&gt;0),$D10,0),0)+IFERROR(IF(AND(T$4&gt;=$C11,T$4&lt;$E11,$D11&gt;0),$D11,0),0),T12)</f>
        <v/>
      </c>
      <c r="U15" s="23">
        <f>IF(param_UseLineDetail="YES",IFERROR(IF(AND(U$4&gt;=$C6,U$4&lt;$E6,$D6&gt;0),$D6,0),0)+IFERROR(IF(AND(U$4&gt;=$C7,U$4&lt;$E7,$D7&gt;0),$D7,0),0)+IFERROR(IF(AND(U$4&gt;=$C8,U$4&lt;$E8,$D8&gt;0),$D8,0),0)+IFERROR(IF(AND(U$4&gt;=$C9,U$4&lt;$E9,$D9&gt;0),$D9,0),0)+IFERROR(IF(AND(U$4&gt;=$C10,U$4&lt;$E10,$D10&gt;0),$D10,0),0)+IFERROR(IF(AND(U$4&gt;=$C11,U$4&lt;$E11,$D11&gt;0),$D11,0),0),U12)</f>
        <v/>
      </c>
      <c r="V15" s="23">
        <f>IF(param_UseLineDetail="YES",IFERROR(IF(AND(V$4&gt;=$C6,V$4&lt;$E6,$D6&gt;0),$D6,0),0)+IFERROR(IF(AND(V$4&gt;=$C7,V$4&lt;$E7,$D7&gt;0),$D7,0),0)+IFERROR(IF(AND(V$4&gt;=$C8,V$4&lt;$E8,$D8&gt;0),$D8,0),0)+IFERROR(IF(AND(V$4&gt;=$C9,V$4&lt;$E9,$D9&gt;0),$D9,0),0)+IFERROR(IF(AND(V$4&gt;=$C10,V$4&lt;$E10,$D10&gt;0),$D10,0),0)+IFERROR(IF(AND(V$4&gt;=$C11,V$4&lt;$E11,$D11&gt;0),$D11,0),0),V12)</f>
        <v/>
      </c>
      <c r="W15" s="23">
        <f>IF(param_UseLineDetail="YES",IFERROR(IF(AND(W$4&gt;=$C6,W$4&lt;$E6,$D6&gt;0),$D6,0),0)+IFERROR(IF(AND(W$4&gt;=$C7,W$4&lt;$E7,$D7&gt;0),$D7,0),0)+IFERROR(IF(AND(W$4&gt;=$C8,W$4&lt;$E8,$D8&gt;0),$D8,0),0)+IFERROR(IF(AND(W$4&gt;=$C9,W$4&lt;$E9,$D9&gt;0),$D9,0),0)+IFERROR(IF(AND(W$4&gt;=$C10,W$4&lt;$E10,$D10&gt;0),$D10,0),0)+IFERROR(IF(AND(W$4&gt;=$C11,W$4&lt;$E11,$D11&gt;0),$D11,0),0),W12)</f>
        <v/>
      </c>
      <c r="X15" s="23">
        <f>IF(param_UseLineDetail="YES",IFERROR(IF(AND(X$4&gt;=$C6,X$4&lt;$E6,$D6&gt;0),$D6,0),0)+IFERROR(IF(AND(X$4&gt;=$C7,X$4&lt;$E7,$D7&gt;0),$D7,0),0)+IFERROR(IF(AND(X$4&gt;=$C8,X$4&lt;$E8,$D8&gt;0),$D8,0),0)+IFERROR(IF(AND(X$4&gt;=$C9,X$4&lt;$E9,$D9&gt;0),$D9,0),0)+IFERROR(IF(AND(X$4&gt;=$C10,X$4&lt;$E10,$D10&gt;0),$D10,0),0)+IFERROR(IF(AND(X$4&gt;=$C11,X$4&lt;$E11,$D11&gt;0),$D11,0),0),X12)</f>
        <v/>
      </c>
      <c r="Y15" s="23">
        <f>IF(param_UseLineDetail="YES",IFERROR(IF(AND(Y$4&gt;=$C6,Y$4&lt;$E6,$D6&gt;0),$D6,0),0)+IFERROR(IF(AND(Y$4&gt;=$C7,Y$4&lt;$E7,$D7&gt;0),$D7,0),0)+IFERROR(IF(AND(Y$4&gt;=$C8,Y$4&lt;$E8,$D8&gt;0),$D8,0),0)+IFERROR(IF(AND(Y$4&gt;=$C9,Y$4&lt;$E9,$D9&gt;0),$D9,0),0)+IFERROR(IF(AND(Y$4&gt;=$C10,Y$4&lt;$E10,$D10&gt;0),$D10,0),0)+IFERROR(IF(AND(Y$4&gt;=$C11,Y$4&lt;$E11,$D11&gt;0),$D11,0),0),Y12)</f>
        <v/>
      </c>
      <c r="Z15" s="23">
        <f>IF(param_UseLineDetail="YES",IFERROR(IF(AND(Z$4&gt;=$C6,Z$4&lt;$E6,$D6&gt;0),$D6,0),0)+IFERROR(IF(AND(Z$4&gt;=$C7,Z$4&lt;$E7,$D7&gt;0),$D7,0),0)+IFERROR(IF(AND(Z$4&gt;=$C8,Z$4&lt;$E8,$D8&gt;0),$D8,0),0)+IFERROR(IF(AND(Z$4&gt;=$C9,Z$4&lt;$E9,$D9&gt;0),$D9,0),0)+IFERROR(IF(AND(Z$4&gt;=$C10,Z$4&lt;$E10,$D10&gt;0),$D10,0),0)+IFERROR(IF(AND(Z$4&gt;=$C11,Z$4&lt;$E11,$D11&gt;0),$D11,0),0),Z12)</f>
        <v/>
      </c>
      <c r="AA15" s="23">
        <f>IF(param_UseLineDetail="YES",IFERROR(IF(AND(AA$4&gt;=$C6,AA$4&lt;$E6,$D6&gt;0),$D6,0),0)+IFERROR(IF(AND(AA$4&gt;=$C7,AA$4&lt;$E7,$D7&gt;0),$D7,0),0)+IFERROR(IF(AND(AA$4&gt;=$C8,AA$4&lt;$E8,$D8&gt;0),$D8,0),0)+IFERROR(IF(AND(AA$4&gt;=$C9,AA$4&lt;$E9,$D9&gt;0),$D9,0),0)+IFERROR(IF(AND(AA$4&gt;=$C10,AA$4&lt;$E10,$D10&gt;0),$D10,0),0)+IFERROR(IF(AND(AA$4&gt;=$C11,AA$4&lt;$E11,$D11&gt;0),$D11,0),0),AA12)</f>
        <v/>
      </c>
      <c r="AB15" s="23">
        <f>IF(param_UseLineDetail="YES",IFERROR(IF(AND(AB$4&gt;=$C6,AB$4&lt;$E6,$D6&gt;0),$D6,0),0)+IFERROR(IF(AND(AB$4&gt;=$C7,AB$4&lt;$E7,$D7&gt;0),$D7,0),0)+IFERROR(IF(AND(AB$4&gt;=$C8,AB$4&lt;$E8,$D8&gt;0),$D8,0),0)+IFERROR(IF(AND(AB$4&gt;=$C9,AB$4&lt;$E9,$D9&gt;0),$D9,0),0)+IFERROR(IF(AND(AB$4&gt;=$C10,AB$4&lt;$E10,$D10&gt;0),$D10,0),0)+IFERROR(IF(AND(AB$4&gt;=$C11,AB$4&lt;$E11,$D11&gt;0),$D11,0),0),AB12)</f>
        <v/>
      </c>
      <c r="AC15" s="23">
        <f>IF(param_UseLineDetail="YES",IFERROR(IF(AND(AC$4&gt;=$C6,AC$4&lt;$E6,$D6&gt;0),$D6,0),0)+IFERROR(IF(AND(AC$4&gt;=$C7,AC$4&lt;$E7,$D7&gt;0),$D7,0),0)+IFERROR(IF(AND(AC$4&gt;=$C8,AC$4&lt;$E8,$D8&gt;0),$D8,0),0)+IFERROR(IF(AND(AC$4&gt;=$C9,AC$4&lt;$E9,$D9&gt;0),$D9,0),0)+IFERROR(IF(AND(AC$4&gt;=$C10,AC$4&lt;$E10,$D10&gt;0),$D10,0),0)+IFERROR(IF(AND(AC$4&gt;=$C11,AC$4&lt;$E11,$D11&gt;0),$D11,0),0),AC12)</f>
        <v/>
      </c>
      <c r="AD15" s="23">
        <f>IF(param_UseLineDetail="YES",IFERROR(IF(AND(AD$4&gt;=$C6,AD$4&lt;$E6,$D6&gt;0),$D6,0),0)+IFERROR(IF(AND(AD$4&gt;=$C7,AD$4&lt;$E7,$D7&gt;0),$D7,0),0)+IFERROR(IF(AND(AD$4&gt;=$C8,AD$4&lt;$E8,$D8&gt;0),$D8,0),0)+IFERROR(IF(AND(AD$4&gt;=$C9,AD$4&lt;$E9,$D9&gt;0),$D9,0),0)+IFERROR(IF(AND(AD$4&gt;=$C10,AD$4&lt;$E10,$D10&gt;0),$D10,0),0)+IFERROR(IF(AND(AD$4&gt;=$C11,AD$4&lt;$E11,$D11&gt;0),$D11,0),0),AD12)</f>
        <v/>
      </c>
      <c r="AE15" s="23">
        <f>IF(param_UseLineDetail="YES",IFERROR(IF(AND(AE$4&gt;=$C6,AE$4&lt;$E6,$D6&gt;0),$D6,0),0)+IFERROR(IF(AND(AE$4&gt;=$C7,AE$4&lt;$E7,$D7&gt;0),$D7,0),0)+IFERROR(IF(AND(AE$4&gt;=$C8,AE$4&lt;$E8,$D8&gt;0),$D8,0),0)+IFERROR(IF(AND(AE$4&gt;=$C9,AE$4&lt;$E9,$D9&gt;0),$D9,0),0)+IFERROR(IF(AND(AE$4&gt;=$C10,AE$4&lt;$E10,$D10&gt;0),$D10,0),0)+IFERROR(IF(AND(AE$4&gt;=$C11,AE$4&lt;$E11,$D11&gt;0),$D11,0),0),AE12)</f>
        <v/>
      </c>
      <c r="AF15" s="23">
        <f>IF(param_UseLineDetail="YES",IFERROR(IF(AND(AF$4&gt;=$C6,AF$4&lt;$E6,$D6&gt;0),$D6,0),0)+IFERROR(IF(AND(AF$4&gt;=$C7,AF$4&lt;$E7,$D7&gt;0),$D7,0),0)+IFERROR(IF(AND(AF$4&gt;=$C8,AF$4&lt;$E8,$D8&gt;0),$D8,0),0)+IFERROR(IF(AND(AF$4&gt;=$C9,AF$4&lt;$E9,$D9&gt;0),$D9,0),0)+IFERROR(IF(AND(AF$4&gt;=$C10,AF$4&lt;$E10,$D10&gt;0),$D10,0),0)+IFERROR(IF(AND(AF$4&gt;=$C11,AF$4&lt;$E11,$D11&gt;0),$D11,0),0),AF12)</f>
        <v/>
      </c>
      <c r="AG15" s="23">
        <f>IF(param_UseLineDetail="YES",IFERROR(IF(AND(AG$4&gt;=$C6,AG$4&lt;$E6,$D6&gt;0),$D6,0),0)+IFERROR(IF(AND(AG$4&gt;=$C7,AG$4&lt;$E7,$D7&gt;0),$D7,0),0)+IFERROR(IF(AND(AG$4&gt;=$C8,AG$4&lt;$E8,$D8&gt;0),$D8,0),0)+IFERROR(IF(AND(AG$4&gt;=$C9,AG$4&lt;$E9,$D9&gt;0),$D9,0),0)+IFERROR(IF(AND(AG$4&gt;=$C10,AG$4&lt;$E10,$D10&gt;0),$D10,0),0)+IFERROR(IF(AND(AG$4&gt;=$C11,AG$4&lt;$E11,$D11&gt;0),$D11,0),0),AG12)</f>
        <v/>
      </c>
      <c r="AH15" s="23">
        <f>IF(param_UseLineDetail="YES",IFERROR(IF(AND(AH$4&gt;=$C6,AH$4&lt;$E6,$D6&gt;0),$D6,0),0)+IFERROR(IF(AND(AH$4&gt;=$C7,AH$4&lt;$E7,$D7&gt;0),$D7,0),0)+IFERROR(IF(AND(AH$4&gt;=$C8,AH$4&lt;$E8,$D8&gt;0),$D8,0),0)+IFERROR(IF(AND(AH$4&gt;=$C9,AH$4&lt;$E9,$D9&gt;0),$D9,0),0)+IFERROR(IF(AND(AH$4&gt;=$C10,AH$4&lt;$E10,$D10&gt;0),$D10,0),0)+IFERROR(IF(AND(AH$4&gt;=$C11,AH$4&lt;$E11,$D11&gt;0),$D11,0),0),AH12)</f>
        <v/>
      </c>
      <c r="AI15" s="23">
        <f>IF(param_UseLineDetail="YES",IFERROR(IF(AND(AI$4&gt;=$C6,AI$4&lt;$E6,$D6&gt;0),$D6,0),0)+IFERROR(IF(AND(AI$4&gt;=$C7,AI$4&lt;$E7,$D7&gt;0),$D7,0),0)+IFERROR(IF(AND(AI$4&gt;=$C8,AI$4&lt;$E8,$D8&gt;0),$D8,0),0)+IFERROR(IF(AND(AI$4&gt;=$C9,AI$4&lt;$E9,$D9&gt;0),$D9,0),0)+IFERROR(IF(AND(AI$4&gt;=$C10,AI$4&lt;$E10,$D10&gt;0),$D10,0),0)+IFERROR(IF(AND(AI$4&gt;=$C11,AI$4&lt;$E11,$D11&gt;0),$D11,0),0),AI12)</f>
        <v/>
      </c>
      <c r="AJ15" s="23">
        <f>IF(param_UseLineDetail="YES",IFERROR(IF(AND(AJ$4&gt;=$C6,AJ$4&lt;$E6,$D6&gt;0),$D6,0),0)+IFERROR(IF(AND(AJ$4&gt;=$C7,AJ$4&lt;$E7,$D7&gt;0),$D7,0),0)+IFERROR(IF(AND(AJ$4&gt;=$C8,AJ$4&lt;$E8,$D8&gt;0),$D8,0),0)+IFERROR(IF(AND(AJ$4&gt;=$C9,AJ$4&lt;$E9,$D9&gt;0),$D9,0),0)+IFERROR(IF(AND(AJ$4&gt;=$C10,AJ$4&lt;$E10,$D10&gt;0),$D10,0),0)+IFERROR(IF(AND(AJ$4&gt;=$C11,AJ$4&lt;$E11,$D11&gt;0),$D11,0),0),AJ12)</f>
        <v/>
      </c>
      <c r="AK15" s="23">
        <f>IF(param_UseLineDetail="YES",IFERROR(IF(AND(AK$4&gt;=$C6,AK$4&lt;$E6,$D6&gt;0),$D6,0),0)+IFERROR(IF(AND(AK$4&gt;=$C7,AK$4&lt;$E7,$D7&gt;0),$D7,0),0)+IFERROR(IF(AND(AK$4&gt;=$C8,AK$4&lt;$E8,$D8&gt;0),$D8,0),0)+IFERROR(IF(AND(AK$4&gt;=$C9,AK$4&lt;$E9,$D9&gt;0),$D9,0),0)+IFERROR(IF(AND(AK$4&gt;=$C10,AK$4&lt;$E10,$D10&gt;0),$D10,0),0)+IFERROR(IF(AND(AK$4&gt;=$C11,AK$4&lt;$E11,$D11&gt;0),$D11,0),0),AK12)</f>
        <v/>
      </c>
      <c r="AL15" s="23">
        <f>IF(param_UseLineDetail="YES",IFERROR(IF(AND(AL$4&gt;=$C6,AL$4&lt;$E6,$D6&gt;0),$D6,0),0)+IFERROR(IF(AND(AL$4&gt;=$C7,AL$4&lt;$E7,$D7&gt;0),$D7,0),0)+IFERROR(IF(AND(AL$4&gt;=$C8,AL$4&lt;$E8,$D8&gt;0),$D8,0),0)+IFERROR(IF(AND(AL$4&gt;=$C9,AL$4&lt;$E9,$D9&gt;0),$D9,0),0)+IFERROR(IF(AND(AL$4&gt;=$C10,AL$4&lt;$E10,$D10&gt;0),$D10,0),0)+IFERROR(IF(AND(AL$4&gt;=$C11,AL$4&lt;$E11,$D11&gt;0),$D11,0),0),AL12)</f>
        <v/>
      </c>
      <c r="AM15" s="23">
        <f>IF(param_UseLineDetail="YES",IFERROR(IF(AND(AM$4&gt;=$C6,AM$4&lt;$E6,$D6&gt;0),$D6,0),0)+IFERROR(IF(AND(AM$4&gt;=$C7,AM$4&lt;$E7,$D7&gt;0),$D7,0),0)+IFERROR(IF(AND(AM$4&gt;=$C8,AM$4&lt;$E8,$D8&gt;0),$D8,0),0)+IFERROR(IF(AND(AM$4&gt;=$C9,AM$4&lt;$E9,$D9&gt;0),$D9,0),0)+IFERROR(IF(AND(AM$4&gt;=$C10,AM$4&lt;$E10,$D10&gt;0),$D10,0),0)+IFERROR(IF(AND(AM$4&gt;=$C11,AM$4&lt;$E11,$D11&gt;0),$D11,0),0),AM12)</f>
        <v/>
      </c>
      <c r="AN15" s="23">
        <f>IF(param_UseLineDetail="YES",IFERROR(IF(AND(AN$4&gt;=$C6,AN$4&lt;$E6,$D6&gt;0),$D6,0),0)+IFERROR(IF(AND(AN$4&gt;=$C7,AN$4&lt;$E7,$D7&gt;0),$D7,0),0)+IFERROR(IF(AND(AN$4&gt;=$C8,AN$4&lt;$E8,$D8&gt;0),$D8,0),0)+IFERROR(IF(AND(AN$4&gt;=$C9,AN$4&lt;$E9,$D9&gt;0),$D9,0),0)+IFERROR(IF(AND(AN$4&gt;=$C10,AN$4&lt;$E10,$D10&gt;0),$D10,0),0)+IFERROR(IF(AND(AN$4&gt;=$C11,AN$4&lt;$E11,$D11&gt;0),$D11,0),0),AN12)</f>
        <v/>
      </c>
      <c r="AO15" s="23">
        <f>IF(param_UseLineDetail="YES",IFERROR(IF(AND(AO$4&gt;=$C6,AO$4&lt;$E6,$D6&gt;0),$D6,0),0)+IFERROR(IF(AND(AO$4&gt;=$C7,AO$4&lt;$E7,$D7&gt;0),$D7,0),0)+IFERROR(IF(AND(AO$4&gt;=$C8,AO$4&lt;$E8,$D8&gt;0),$D8,0),0)+IFERROR(IF(AND(AO$4&gt;=$C9,AO$4&lt;$E9,$D9&gt;0),$D9,0),0)+IFERROR(IF(AND(AO$4&gt;=$C10,AO$4&lt;$E10,$D10&gt;0),$D10,0),0)+IFERROR(IF(AND(AO$4&gt;=$C11,AO$4&lt;$E11,$D11&gt;0),$D11,0),0),AO12)</f>
        <v/>
      </c>
      <c r="AP15" s="23">
        <f>IF(param_UseLineDetail="YES",IFERROR(IF(AND(AP$4&gt;=$C6,AP$4&lt;$E6,$D6&gt;0),$D6,0),0)+IFERROR(IF(AND(AP$4&gt;=$C7,AP$4&lt;$E7,$D7&gt;0),$D7,0),0)+IFERROR(IF(AND(AP$4&gt;=$C8,AP$4&lt;$E8,$D8&gt;0),$D8,0),0)+IFERROR(IF(AND(AP$4&gt;=$C9,AP$4&lt;$E9,$D9&gt;0),$D9,0),0)+IFERROR(IF(AND(AP$4&gt;=$C10,AP$4&lt;$E10,$D10&gt;0),$D10,0),0)+IFERROR(IF(AND(AP$4&gt;=$C11,AP$4&lt;$E11,$D11&gt;0),$D11,0),0),AP12)</f>
        <v/>
      </c>
      <c r="AQ15" s="23">
        <f>IF(param_UseLineDetail="YES",IFERROR(IF(AND(AQ$4&gt;=$C6,AQ$4&lt;$E6,$D6&gt;0),$D6,0),0)+IFERROR(IF(AND(AQ$4&gt;=$C7,AQ$4&lt;$E7,$D7&gt;0),$D7,0),0)+IFERROR(IF(AND(AQ$4&gt;=$C8,AQ$4&lt;$E8,$D8&gt;0),$D8,0),0)+IFERROR(IF(AND(AQ$4&gt;=$C9,AQ$4&lt;$E9,$D9&gt;0),$D9,0),0)+IFERROR(IF(AND(AQ$4&gt;=$C10,AQ$4&lt;$E10,$D10&gt;0),$D10,0),0)+IFERROR(IF(AND(AQ$4&gt;=$C11,AQ$4&lt;$E11,$D11&gt;0),$D11,0),0),AQ12)</f>
        <v/>
      </c>
      <c r="AR15" s="23">
        <f>IF(param_UseLineDetail="YES",IFERROR(IF(AND(AR$4&gt;=$C6,AR$4&lt;$E6,$D6&gt;0),$D6,0),0)+IFERROR(IF(AND(AR$4&gt;=$C7,AR$4&lt;$E7,$D7&gt;0),$D7,0),0)+IFERROR(IF(AND(AR$4&gt;=$C8,AR$4&lt;$E8,$D8&gt;0),$D8,0),0)+IFERROR(IF(AND(AR$4&gt;=$C9,AR$4&lt;$E9,$D9&gt;0),$D9,0),0)+IFERROR(IF(AND(AR$4&gt;=$C10,AR$4&lt;$E10,$D10&gt;0),$D10,0),0)+IFERROR(IF(AND(AR$4&gt;=$C11,AR$4&lt;$E11,$D11&gt;0),$D11,0),0),AR12)</f>
        <v/>
      </c>
      <c r="AS15" s="23">
        <f>IF(param_UseLineDetail="YES",IFERROR(IF(AND(AS$4&gt;=$C6,AS$4&lt;$E6,$D6&gt;0),$D6,0),0)+IFERROR(IF(AND(AS$4&gt;=$C7,AS$4&lt;$E7,$D7&gt;0),$D7,0),0)+IFERROR(IF(AND(AS$4&gt;=$C8,AS$4&lt;$E8,$D8&gt;0),$D8,0),0)+IFERROR(IF(AND(AS$4&gt;=$C9,AS$4&lt;$E9,$D9&gt;0),$D9,0),0)+IFERROR(IF(AND(AS$4&gt;=$C10,AS$4&lt;$E10,$D10&gt;0),$D10,0),0)+IFERROR(IF(AND(AS$4&gt;=$C11,AS$4&lt;$E11,$D11&gt;0),$D11,0),0),AS12)</f>
        <v/>
      </c>
      <c r="AT15" s="23">
        <f>IF(param_UseLineDetail="YES",IFERROR(IF(AND(AT$4&gt;=$C6,AT$4&lt;$E6,$D6&gt;0),$D6,0),0)+IFERROR(IF(AND(AT$4&gt;=$C7,AT$4&lt;$E7,$D7&gt;0),$D7,0),0)+IFERROR(IF(AND(AT$4&gt;=$C8,AT$4&lt;$E8,$D8&gt;0),$D8,0),0)+IFERROR(IF(AND(AT$4&gt;=$C9,AT$4&lt;$E9,$D9&gt;0),$D9,0),0)+IFERROR(IF(AND(AT$4&gt;=$C10,AT$4&lt;$E10,$D10&gt;0),$D10,0),0)+IFERROR(IF(AND(AT$4&gt;=$C11,AT$4&lt;$E11,$D11&gt;0),$D11,0),0),AT12)</f>
        <v/>
      </c>
      <c r="AU15" s="23">
        <f>IF(param_UseLineDetail="YES",IFERROR(IF(AND(AU$4&gt;=$C6,AU$4&lt;$E6,$D6&gt;0),$D6,0),0)+IFERROR(IF(AND(AU$4&gt;=$C7,AU$4&lt;$E7,$D7&gt;0),$D7,0),0)+IFERROR(IF(AND(AU$4&gt;=$C8,AU$4&lt;$E8,$D8&gt;0),$D8,0),0)+IFERROR(IF(AND(AU$4&gt;=$C9,AU$4&lt;$E9,$D9&gt;0),$D9,0),0)+IFERROR(IF(AND(AU$4&gt;=$C10,AU$4&lt;$E10,$D10&gt;0),$D10,0),0)+IFERROR(IF(AND(AU$4&gt;=$C11,AU$4&lt;$E11,$D11&gt;0),$D11,0),0),AU12)</f>
        <v/>
      </c>
      <c r="AV15" s="23">
        <f>IF(param_UseLineDetail="YES",IFERROR(IF(AND(AV$4&gt;=$C6,AV$4&lt;$E6,$D6&gt;0),$D6,0),0)+IFERROR(IF(AND(AV$4&gt;=$C7,AV$4&lt;$E7,$D7&gt;0),$D7,0),0)+IFERROR(IF(AND(AV$4&gt;=$C8,AV$4&lt;$E8,$D8&gt;0),$D8,0),0)+IFERROR(IF(AND(AV$4&gt;=$C9,AV$4&lt;$E9,$D9&gt;0),$D9,0),0)+IFERROR(IF(AND(AV$4&gt;=$C10,AV$4&lt;$E10,$D10&gt;0),$D10,0),0)+IFERROR(IF(AND(AV$4&gt;=$C11,AV$4&lt;$E11,$D11&gt;0),$D11,0),0),AV12)</f>
        <v/>
      </c>
      <c r="AW15" s="23">
        <f>IF(param_UseLineDetail="YES",IFERROR(IF(AND(AW$4&gt;=$C6,AW$4&lt;$E6,$D6&gt;0),$D6,0),0)+IFERROR(IF(AND(AW$4&gt;=$C7,AW$4&lt;$E7,$D7&gt;0),$D7,0),0)+IFERROR(IF(AND(AW$4&gt;=$C8,AW$4&lt;$E8,$D8&gt;0),$D8,0),0)+IFERROR(IF(AND(AW$4&gt;=$C9,AW$4&lt;$E9,$D9&gt;0),$D9,0),0)+IFERROR(IF(AND(AW$4&gt;=$C10,AW$4&lt;$E10,$D10&gt;0),$D10,0),0)+IFERROR(IF(AND(AW$4&gt;=$C11,AW$4&lt;$E11,$D11&gt;0),$D11,0),0),AW12)</f>
        <v/>
      </c>
      <c r="AX15" s="23">
        <f>IF(param_UseLineDetail="YES",IFERROR(IF(AND(AX$4&gt;=$C6,AX$4&lt;$E6,$D6&gt;0),$D6,0),0)+IFERROR(IF(AND(AX$4&gt;=$C7,AX$4&lt;$E7,$D7&gt;0),$D7,0),0)+IFERROR(IF(AND(AX$4&gt;=$C8,AX$4&lt;$E8,$D8&gt;0),$D8,0),0)+IFERROR(IF(AND(AX$4&gt;=$C9,AX$4&lt;$E9,$D9&gt;0),$D9,0),0)+IFERROR(IF(AND(AX$4&gt;=$C10,AX$4&lt;$E10,$D10&gt;0),$D10,0),0)+IFERROR(IF(AND(AX$4&gt;=$C11,AX$4&lt;$E11,$D11&gt;0),$D11,0),0),AX12)</f>
        <v/>
      </c>
      <c r="AY15" s="23">
        <f>IF(param_UseLineDetail="YES",IFERROR(IF(AND(AY$4&gt;=$C6,AY$4&lt;$E6,$D6&gt;0),$D6,0),0)+IFERROR(IF(AND(AY$4&gt;=$C7,AY$4&lt;$E7,$D7&gt;0),$D7,0),0)+IFERROR(IF(AND(AY$4&gt;=$C8,AY$4&lt;$E8,$D8&gt;0),$D8,0),0)+IFERROR(IF(AND(AY$4&gt;=$C9,AY$4&lt;$E9,$D9&gt;0),$D9,0),0)+IFERROR(IF(AND(AY$4&gt;=$C10,AY$4&lt;$E10,$D10&gt;0),$D10,0),0)+IFERROR(IF(AND(AY$4&gt;=$C11,AY$4&lt;$E11,$D11&gt;0),$D11,0),0),AY12)</f>
        <v/>
      </c>
      <c r="AZ15" s="23">
        <f>IF(param_UseLineDetail="YES",IFERROR(IF(AND(AZ$4&gt;=$C6,AZ$4&lt;$E6,$D6&gt;0),$D6,0),0)+IFERROR(IF(AND(AZ$4&gt;=$C7,AZ$4&lt;$E7,$D7&gt;0),$D7,0),0)+IFERROR(IF(AND(AZ$4&gt;=$C8,AZ$4&lt;$E8,$D8&gt;0),$D8,0),0)+IFERROR(IF(AND(AZ$4&gt;=$C9,AZ$4&lt;$E9,$D9&gt;0),$D9,0),0)+IFERROR(IF(AND(AZ$4&gt;=$C10,AZ$4&lt;$E10,$D10&gt;0),$D10,0),0)+IFERROR(IF(AND(AZ$4&gt;=$C11,AZ$4&lt;$E11,$D11&gt;0),$D11,0),0),AZ12)</f>
        <v/>
      </c>
      <c r="BA15" s="23">
        <f>IF(param_UseLineDetail="YES",IFERROR(IF(AND(BA$4&gt;=$C6,BA$4&lt;$E6,$D6&gt;0),$D6,0),0)+IFERROR(IF(AND(BA$4&gt;=$C7,BA$4&lt;$E7,$D7&gt;0),$D7,0),0)+IFERROR(IF(AND(BA$4&gt;=$C8,BA$4&lt;$E8,$D8&gt;0),$D8,0),0)+IFERROR(IF(AND(BA$4&gt;=$C9,BA$4&lt;$E9,$D9&gt;0),$D9,0),0)+IFERROR(IF(AND(BA$4&gt;=$C10,BA$4&lt;$E10,$D10&gt;0),$D10,0),0)+IFERROR(IF(AND(BA$4&gt;=$C11,BA$4&lt;$E11,$D11&gt;0),$D11,0),0),BA12)</f>
        <v/>
      </c>
      <c r="BB15" s="23">
        <f>IF(param_UseLineDetail="YES",IFERROR(IF(AND(BB$4&gt;=$C6,BB$4&lt;$E6,$D6&gt;0),$D6,0),0)+IFERROR(IF(AND(BB$4&gt;=$C7,BB$4&lt;$E7,$D7&gt;0),$D7,0),0)+IFERROR(IF(AND(BB$4&gt;=$C8,BB$4&lt;$E8,$D8&gt;0),$D8,0),0)+IFERROR(IF(AND(BB$4&gt;=$C9,BB$4&lt;$E9,$D9&gt;0),$D9,0),0)+IFERROR(IF(AND(BB$4&gt;=$C10,BB$4&lt;$E10,$D10&gt;0),$D10,0),0)+IFERROR(IF(AND(BB$4&gt;=$C11,BB$4&lt;$E11,$D11&gt;0),$D11,0),0),BB12)</f>
        <v/>
      </c>
      <c r="BC15" s="23">
        <f>IF(param_UseLineDetail="YES",IFERROR(IF(AND(BC$4&gt;=$C6,BC$4&lt;$E6,$D6&gt;0),$D6,0),0)+IFERROR(IF(AND(BC$4&gt;=$C7,BC$4&lt;$E7,$D7&gt;0),$D7,0),0)+IFERROR(IF(AND(BC$4&gt;=$C8,BC$4&lt;$E8,$D8&gt;0),$D8,0),0)+IFERROR(IF(AND(BC$4&gt;=$C9,BC$4&lt;$E9,$D9&gt;0),$D9,0),0)+IFERROR(IF(AND(BC$4&gt;=$C10,BC$4&lt;$E10,$D10&gt;0),$D10,0),0)+IFERROR(IF(AND(BC$4&gt;=$C11,BC$4&lt;$E11,$D11&gt;0),$D11,0),0),BC12)</f>
        <v/>
      </c>
      <c r="BD15" s="23">
        <f>IF(param_UseLineDetail="YES",IFERROR(IF(AND(BD$4&gt;=$C6,BD$4&lt;$E6,$D6&gt;0),$D6,0),0)+IFERROR(IF(AND(BD$4&gt;=$C7,BD$4&lt;$E7,$D7&gt;0),$D7,0),0)+IFERROR(IF(AND(BD$4&gt;=$C8,BD$4&lt;$E8,$D8&gt;0),$D8,0),0)+IFERROR(IF(AND(BD$4&gt;=$C9,BD$4&lt;$E9,$D9&gt;0),$D9,0),0)+IFERROR(IF(AND(BD$4&gt;=$C10,BD$4&lt;$E10,$D10&gt;0),$D10,0),0)+IFERROR(IF(AND(BD$4&gt;=$C11,BD$4&lt;$E11,$D11&gt;0),$D11,0),0),BD12)</f>
        <v/>
      </c>
      <c r="BE15" s="23">
        <f>IF(param_UseLineDetail="YES",IFERROR(IF(AND(BE$4&gt;=$C6,BE$4&lt;$E6,$D6&gt;0),$D6,0),0)+IFERROR(IF(AND(BE$4&gt;=$C7,BE$4&lt;$E7,$D7&gt;0),$D7,0),0)+IFERROR(IF(AND(BE$4&gt;=$C8,BE$4&lt;$E8,$D8&gt;0),$D8,0),0)+IFERROR(IF(AND(BE$4&gt;=$C9,BE$4&lt;$E9,$D9&gt;0),$D9,0),0)+IFERROR(IF(AND(BE$4&gt;=$C10,BE$4&lt;$E10,$D10&gt;0),$D10,0),0)+IFERROR(IF(AND(BE$4&gt;=$C11,BE$4&lt;$E11,$D11&gt;0),$D11,0),0),BE12)</f>
        <v/>
      </c>
      <c r="BF15" s="23">
        <f>IF(param_UseLineDetail="YES",IFERROR(IF(AND(BF$4&gt;=$C6,BF$4&lt;$E6,$D6&gt;0),$D6,0),0)+IFERROR(IF(AND(BF$4&gt;=$C7,BF$4&lt;$E7,$D7&gt;0),$D7,0),0)+IFERROR(IF(AND(BF$4&gt;=$C8,BF$4&lt;$E8,$D8&gt;0),$D8,0),0)+IFERROR(IF(AND(BF$4&gt;=$C9,BF$4&lt;$E9,$D9&gt;0),$D9,0),0)+IFERROR(IF(AND(BF$4&gt;=$C10,BF$4&lt;$E10,$D10&gt;0),$D10,0),0)+IFERROR(IF(AND(BF$4&gt;=$C11,BF$4&lt;$E11,$D11&gt;0),$D11,0),0),BF12)</f>
        <v/>
      </c>
      <c r="BG15" s="23">
        <f>IF(param_UseLineDetail="YES",IFERROR(IF(AND(BG$4&gt;=$C6,BG$4&lt;$E6,$D6&gt;0),$D6,0),0)+IFERROR(IF(AND(BG$4&gt;=$C7,BG$4&lt;$E7,$D7&gt;0),$D7,0),0)+IFERROR(IF(AND(BG$4&gt;=$C8,BG$4&lt;$E8,$D8&gt;0),$D8,0),0)+IFERROR(IF(AND(BG$4&gt;=$C9,BG$4&lt;$E9,$D9&gt;0),$D9,0),0)+IFERROR(IF(AND(BG$4&gt;=$C10,BG$4&lt;$E10,$D10&gt;0),$D10,0),0)+IFERROR(IF(AND(BG$4&gt;=$C11,BG$4&lt;$E11,$D11&gt;0),$D11,0),0),BG12)</f>
        <v/>
      </c>
      <c r="BH15" s="23">
        <f>IF(param_UseLineDetail="YES",IFERROR(IF(AND(BH$4&gt;=$C6,BH$4&lt;$E6,$D6&gt;0),$D6,0),0)+IFERROR(IF(AND(BH$4&gt;=$C7,BH$4&lt;$E7,$D7&gt;0),$D7,0),0)+IFERROR(IF(AND(BH$4&gt;=$C8,BH$4&lt;$E8,$D8&gt;0),$D8,0),0)+IFERROR(IF(AND(BH$4&gt;=$C9,BH$4&lt;$E9,$D9&gt;0),$D9,0),0)+IFERROR(IF(AND(BH$4&gt;=$C10,BH$4&lt;$E10,$D10&gt;0),$D10,0),0)+IFERROR(IF(AND(BH$4&gt;=$C11,BH$4&lt;$E11,$D11&gt;0),$D11,0),0),BH12)</f>
        <v/>
      </c>
    </row>
    <row r="16" ht="16" customHeight="1">
      <c r="A16" s="22" t="inlineStr">
        <is>
          <t>Total Hens in Laying  [Plant: GP Laying Farm]</t>
        </is>
      </c>
      <c r="B16" s="6" t="n"/>
      <c r="C16" s="6" t="n"/>
      <c r="D16" s="6" t="n"/>
      <c r="E16" s="6" t="n"/>
      <c r="F16" s="6" t="n"/>
      <c r="G16" s="6" t="n"/>
      <c r="H16" s="7" t="n"/>
      <c r="I16" s="23">
        <f>IF(param_UseLineDetail="YES",IFERROR(IF(AND(I$4&gt;=$F6,I$4&lt;=$G6,$D6&gt;0),$H6*(1-param_GP_LayMortWeekly)^INT((I$4-$F6)/7),0),0)+IFERROR(IF(AND(I$4&gt;=$F7,I$4&lt;=$G7,$D7&gt;0),$H7*(1-param_GP_LayMortWeekly)^INT((I$4-$F7)/7),0),0)+IFERROR(IF(AND(I$4&gt;=$F8,I$4&lt;=$G8,$D8&gt;0),$H8*(1-param_GP_LayMortWeekly)^INT((I$4-$F8)/7),0),0)+IFERROR(IF(AND(I$4&gt;=$F9,I$4&lt;=$G9,$D9&gt;0),$H9*(1-param_GP_LayMortWeekly)^INT((I$4-$F9)/7),0),0)+IFERROR(IF(AND(I$4&gt;=$F10,I$4&lt;=$G10,$D10&gt;0),$H10*(1-param_GP_LayMortWeekly)^INT((I$4-$F10)/7),0),0)+IFERROR(IF(AND(I$4&gt;=$F11,I$4&lt;=$G11,$D11&gt;0),$H11*(1-param_GP_LayMortWeekly)^INT((I$4-$F11)/7),0),0),I12)</f>
        <v/>
      </c>
      <c r="J16" s="23">
        <f>IF(param_UseLineDetail="YES",IFERROR(IF(AND(J$4&gt;=$F6,J$4&lt;=$G6,$D6&gt;0),$H6*(1-param_GP_LayMortWeekly)^INT((J$4-$F6)/7),0),0)+IFERROR(IF(AND(J$4&gt;=$F7,J$4&lt;=$G7,$D7&gt;0),$H7*(1-param_GP_LayMortWeekly)^INT((J$4-$F7)/7),0),0)+IFERROR(IF(AND(J$4&gt;=$F8,J$4&lt;=$G8,$D8&gt;0),$H8*(1-param_GP_LayMortWeekly)^INT((J$4-$F8)/7),0),0)+IFERROR(IF(AND(J$4&gt;=$F9,J$4&lt;=$G9,$D9&gt;0),$H9*(1-param_GP_LayMortWeekly)^INT((J$4-$F9)/7),0),0)+IFERROR(IF(AND(J$4&gt;=$F10,J$4&lt;=$G10,$D10&gt;0),$H10*(1-param_GP_LayMortWeekly)^INT((J$4-$F10)/7),0),0)+IFERROR(IF(AND(J$4&gt;=$F11,J$4&lt;=$G11,$D11&gt;0),$H11*(1-param_GP_LayMortWeekly)^INT((J$4-$F11)/7),0),0),J12)</f>
        <v/>
      </c>
      <c r="K16" s="23">
        <f>IF(param_UseLineDetail="YES",IFERROR(IF(AND(K$4&gt;=$F6,K$4&lt;=$G6,$D6&gt;0),$H6*(1-param_GP_LayMortWeekly)^INT((K$4-$F6)/7),0),0)+IFERROR(IF(AND(K$4&gt;=$F7,K$4&lt;=$G7,$D7&gt;0),$H7*(1-param_GP_LayMortWeekly)^INT((K$4-$F7)/7),0),0)+IFERROR(IF(AND(K$4&gt;=$F8,K$4&lt;=$G8,$D8&gt;0),$H8*(1-param_GP_LayMortWeekly)^INT((K$4-$F8)/7),0),0)+IFERROR(IF(AND(K$4&gt;=$F9,K$4&lt;=$G9,$D9&gt;0),$H9*(1-param_GP_LayMortWeekly)^INT((K$4-$F9)/7),0),0)+IFERROR(IF(AND(K$4&gt;=$F10,K$4&lt;=$G10,$D10&gt;0),$H10*(1-param_GP_LayMortWeekly)^INT((K$4-$F10)/7),0),0)+IFERROR(IF(AND(K$4&gt;=$F11,K$4&lt;=$G11,$D11&gt;0),$H11*(1-param_GP_LayMortWeekly)^INT((K$4-$F11)/7),0),0),K12)</f>
        <v/>
      </c>
      <c r="L16" s="23">
        <f>IF(param_UseLineDetail="YES",IFERROR(IF(AND(L$4&gt;=$F6,L$4&lt;=$G6,$D6&gt;0),$H6*(1-param_GP_LayMortWeekly)^INT((L$4-$F6)/7),0),0)+IFERROR(IF(AND(L$4&gt;=$F7,L$4&lt;=$G7,$D7&gt;0),$H7*(1-param_GP_LayMortWeekly)^INT((L$4-$F7)/7),0),0)+IFERROR(IF(AND(L$4&gt;=$F8,L$4&lt;=$G8,$D8&gt;0),$H8*(1-param_GP_LayMortWeekly)^INT((L$4-$F8)/7),0),0)+IFERROR(IF(AND(L$4&gt;=$F9,L$4&lt;=$G9,$D9&gt;0),$H9*(1-param_GP_LayMortWeekly)^INT((L$4-$F9)/7),0),0)+IFERROR(IF(AND(L$4&gt;=$F10,L$4&lt;=$G10,$D10&gt;0),$H10*(1-param_GP_LayMortWeekly)^INT((L$4-$F10)/7),0),0)+IFERROR(IF(AND(L$4&gt;=$F11,L$4&lt;=$G11,$D11&gt;0),$H11*(1-param_GP_LayMortWeekly)^INT((L$4-$F11)/7),0),0),L12)</f>
        <v/>
      </c>
      <c r="M16" s="23">
        <f>IF(param_UseLineDetail="YES",IFERROR(IF(AND(M$4&gt;=$F6,M$4&lt;=$G6,$D6&gt;0),$H6*(1-param_GP_LayMortWeekly)^INT((M$4-$F6)/7),0),0)+IFERROR(IF(AND(M$4&gt;=$F7,M$4&lt;=$G7,$D7&gt;0),$H7*(1-param_GP_LayMortWeekly)^INT((M$4-$F7)/7),0),0)+IFERROR(IF(AND(M$4&gt;=$F8,M$4&lt;=$G8,$D8&gt;0),$H8*(1-param_GP_LayMortWeekly)^INT((M$4-$F8)/7),0),0)+IFERROR(IF(AND(M$4&gt;=$F9,M$4&lt;=$G9,$D9&gt;0),$H9*(1-param_GP_LayMortWeekly)^INT((M$4-$F9)/7),0),0)+IFERROR(IF(AND(M$4&gt;=$F10,M$4&lt;=$G10,$D10&gt;0),$H10*(1-param_GP_LayMortWeekly)^INT((M$4-$F10)/7),0),0)+IFERROR(IF(AND(M$4&gt;=$F11,M$4&lt;=$G11,$D11&gt;0),$H11*(1-param_GP_LayMortWeekly)^INT((M$4-$F11)/7),0),0),M12)</f>
        <v/>
      </c>
      <c r="N16" s="23">
        <f>IF(param_UseLineDetail="YES",IFERROR(IF(AND(N$4&gt;=$F6,N$4&lt;=$G6,$D6&gt;0),$H6*(1-param_GP_LayMortWeekly)^INT((N$4-$F6)/7),0),0)+IFERROR(IF(AND(N$4&gt;=$F7,N$4&lt;=$G7,$D7&gt;0),$H7*(1-param_GP_LayMortWeekly)^INT((N$4-$F7)/7),0),0)+IFERROR(IF(AND(N$4&gt;=$F8,N$4&lt;=$G8,$D8&gt;0),$H8*(1-param_GP_LayMortWeekly)^INT((N$4-$F8)/7),0),0)+IFERROR(IF(AND(N$4&gt;=$F9,N$4&lt;=$G9,$D9&gt;0),$H9*(1-param_GP_LayMortWeekly)^INT((N$4-$F9)/7),0),0)+IFERROR(IF(AND(N$4&gt;=$F10,N$4&lt;=$G10,$D10&gt;0),$H10*(1-param_GP_LayMortWeekly)^INT((N$4-$F10)/7),0),0)+IFERROR(IF(AND(N$4&gt;=$F11,N$4&lt;=$G11,$D11&gt;0),$H11*(1-param_GP_LayMortWeekly)^INT((N$4-$F11)/7),0),0),N12)</f>
        <v/>
      </c>
      <c r="O16" s="23">
        <f>IF(param_UseLineDetail="YES",IFERROR(IF(AND(O$4&gt;=$F6,O$4&lt;=$G6,$D6&gt;0),$H6*(1-param_GP_LayMortWeekly)^INT((O$4-$F6)/7),0),0)+IFERROR(IF(AND(O$4&gt;=$F7,O$4&lt;=$G7,$D7&gt;0),$H7*(1-param_GP_LayMortWeekly)^INT((O$4-$F7)/7),0),0)+IFERROR(IF(AND(O$4&gt;=$F8,O$4&lt;=$G8,$D8&gt;0),$H8*(1-param_GP_LayMortWeekly)^INT((O$4-$F8)/7),0),0)+IFERROR(IF(AND(O$4&gt;=$F9,O$4&lt;=$G9,$D9&gt;0),$H9*(1-param_GP_LayMortWeekly)^INT((O$4-$F9)/7),0),0)+IFERROR(IF(AND(O$4&gt;=$F10,O$4&lt;=$G10,$D10&gt;0),$H10*(1-param_GP_LayMortWeekly)^INT((O$4-$F10)/7),0),0)+IFERROR(IF(AND(O$4&gt;=$F11,O$4&lt;=$G11,$D11&gt;0),$H11*(1-param_GP_LayMortWeekly)^INT((O$4-$F11)/7),0),0),O12)</f>
        <v/>
      </c>
      <c r="P16" s="23">
        <f>IF(param_UseLineDetail="YES",IFERROR(IF(AND(P$4&gt;=$F6,P$4&lt;=$G6,$D6&gt;0),$H6*(1-param_GP_LayMortWeekly)^INT((P$4-$F6)/7),0),0)+IFERROR(IF(AND(P$4&gt;=$F7,P$4&lt;=$G7,$D7&gt;0),$H7*(1-param_GP_LayMortWeekly)^INT((P$4-$F7)/7),0),0)+IFERROR(IF(AND(P$4&gt;=$F8,P$4&lt;=$G8,$D8&gt;0),$H8*(1-param_GP_LayMortWeekly)^INT((P$4-$F8)/7),0),0)+IFERROR(IF(AND(P$4&gt;=$F9,P$4&lt;=$G9,$D9&gt;0),$H9*(1-param_GP_LayMortWeekly)^INT((P$4-$F9)/7),0),0)+IFERROR(IF(AND(P$4&gt;=$F10,P$4&lt;=$G10,$D10&gt;0),$H10*(1-param_GP_LayMortWeekly)^INT((P$4-$F10)/7),0),0)+IFERROR(IF(AND(P$4&gt;=$F11,P$4&lt;=$G11,$D11&gt;0),$H11*(1-param_GP_LayMortWeekly)^INT((P$4-$F11)/7),0),0),P12)</f>
        <v/>
      </c>
      <c r="Q16" s="23">
        <f>IF(param_UseLineDetail="YES",IFERROR(IF(AND(Q$4&gt;=$F6,Q$4&lt;=$G6,$D6&gt;0),$H6*(1-param_GP_LayMortWeekly)^INT((Q$4-$F6)/7),0),0)+IFERROR(IF(AND(Q$4&gt;=$F7,Q$4&lt;=$G7,$D7&gt;0),$H7*(1-param_GP_LayMortWeekly)^INT((Q$4-$F7)/7),0),0)+IFERROR(IF(AND(Q$4&gt;=$F8,Q$4&lt;=$G8,$D8&gt;0),$H8*(1-param_GP_LayMortWeekly)^INT((Q$4-$F8)/7),0),0)+IFERROR(IF(AND(Q$4&gt;=$F9,Q$4&lt;=$G9,$D9&gt;0),$H9*(1-param_GP_LayMortWeekly)^INT((Q$4-$F9)/7),0),0)+IFERROR(IF(AND(Q$4&gt;=$F10,Q$4&lt;=$G10,$D10&gt;0),$H10*(1-param_GP_LayMortWeekly)^INT((Q$4-$F10)/7),0),0)+IFERROR(IF(AND(Q$4&gt;=$F11,Q$4&lt;=$G11,$D11&gt;0),$H11*(1-param_GP_LayMortWeekly)^INT((Q$4-$F11)/7),0),0),Q12)</f>
        <v/>
      </c>
      <c r="R16" s="23">
        <f>IF(param_UseLineDetail="YES",IFERROR(IF(AND(R$4&gt;=$F6,R$4&lt;=$G6,$D6&gt;0),$H6*(1-param_GP_LayMortWeekly)^INT((R$4-$F6)/7),0),0)+IFERROR(IF(AND(R$4&gt;=$F7,R$4&lt;=$G7,$D7&gt;0),$H7*(1-param_GP_LayMortWeekly)^INT((R$4-$F7)/7),0),0)+IFERROR(IF(AND(R$4&gt;=$F8,R$4&lt;=$G8,$D8&gt;0),$H8*(1-param_GP_LayMortWeekly)^INT((R$4-$F8)/7),0),0)+IFERROR(IF(AND(R$4&gt;=$F9,R$4&lt;=$G9,$D9&gt;0),$H9*(1-param_GP_LayMortWeekly)^INT((R$4-$F9)/7),0),0)+IFERROR(IF(AND(R$4&gt;=$F10,R$4&lt;=$G10,$D10&gt;0),$H10*(1-param_GP_LayMortWeekly)^INT((R$4-$F10)/7),0),0)+IFERROR(IF(AND(R$4&gt;=$F11,R$4&lt;=$G11,$D11&gt;0),$H11*(1-param_GP_LayMortWeekly)^INT((R$4-$F11)/7),0),0),R12)</f>
        <v/>
      </c>
      <c r="S16" s="23">
        <f>IF(param_UseLineDetail="YES",IFERROR(IF(AND(S$4&gt;=$F6,S$4&lt;=$G6,$D6&gt;0),$H6*(1-param_GP_LayMortWeekly)^INT((S$4-$F6)/7),0),0)+IFERROR(IF(AND(S$4&gt;=$F7,S$4&lt;=$G7,$D7&gt;0),$H7*(1-param_GP_LayMortWeekly)^INT((S$4-$F7)/7),0),0)+IFERROR(IF(AND(S$4&gt;=$F8,S$4&lt;=$G8,$D8&gt;0),$H8*(1-param_GP_LayMortWeekly)^INT((S$4-$F8)/7),0),0)+IFERROR(IF(AND(S$4&gt;=$F9,S$4&lt;=$G9,$D9&gt;0),$H9*(1-param_GP_LayMortWeekly)^INT((S$4-$F9)/7),0),0)+IFERROR(IF(AND(S$4&gt;=$F10,S$4&lt;=$G10,$D10&gt;0),$H10*(1-param_GP_LayMortWeekly)^INT((S$4-$F10)/7),0),0)+IFERROR(IF(AND(S$4&gt;=$F11,S$4&lt;=$G11,$D11&gt;0),$H11*(1-param_GP_LayMortWeekly)^INT((S$4-$F11)/7),0),0),S12)</f>
        <v/>
      </c>
      <c r="T16" s="23">
        <f>IF(param_UseLineDetail="YES",IFERROR(IF(AND(T$4&gt;=$F6,T$4&lt;=$G6,$D6&gt;0),$H6*(1-param_GP_LayMortWeekly)^INT((T$4-$F6)/7),0),0)+IFERROR(IF(AND(T$4&gt;=$F7,T$4&lt;=$G7,$D7&gt;0),$H7*(1-param_GP_LayMortWeekly)^INT((T$4-$F7)/7),0),0)+IFERROR(IF(AND(T$4&gt;=$F8,T$4&lt;=$G8,$D8&gt;0),$H8*(1-param_GP_LayMortWeekly)^INT((T$4-$F8)/7),0),0)+IFERROR(IF(AND(T$4&gt;=$F9,T$4&lt;=$G9,$D9&gt;0),$H9*(1-param_GP_LayMortWeekly)^INT((T$4-$F9)/7),0),0)+IFERROR(IF(AND(T$4&gt;=$F10,T$4&lt;=$G10,$D10&gt;0),$H10*(1-param_GP_LayMortWeekly)^INT((T$4-$F10)/7),0),0)+IFERROR(IF(AND(T$4&gt;=$F11,T$4&lt;=$G11,$D11&gt;0),$H11*(1-param_GP_LayMortWeekly)^INT((T$4-$F11)/7),0),0),T12)</f>
        <v/>
      </c>
      <c r="U16" s="23">
        <f>IF(param_UseLineDetail="YES",IFERROR(IF(AND(U$4&gt;=$F6,U$4&lt;=$G6,$D6&gt;0),$H6*(1-param_GP_LayMortWeekly)^INT((U$4-$F6)/7),0),0)+IFERROR(IF(AND(U$4&gt;=$F7,U$4&lt;=$G7,$D7&gt;0),$H7*(1-param_GP_LayMortWeekly)^INT((U$4-$F7)/7),0),0)+IFERROR(IF(AND(U$4&gt;=$F8,U$4&lt;=$G8,$D8&gt;0),$H8*(1-param_GP_LayMortWeekly)^INT((U$4-$F8)/7),0),0)+IFERROR(IF(AND(U$4&gt;=$F9,U$4&lt;=$G9,$D9&gt;0),$H9*(1-param_GP_LayMortWeekly)^INT((U$4-$F9)/7),0),0)+IFERROR(IF(AND(U$4&gt;=$F10,U$4&lt;=$G10,$D10&gt;0),$H10*(1-param_GP_LayMortWeekly)^INT((U$4-$F10)/7),0),0)+IFERROR(IF(AND(U$4&gt;=$F11,U$4&lt;=$G11,$D11&gt;0),$H11*(1-param_GP_LayMortWeekly)^INT((U$4-$F11)/7),0),0),U12)</f>
        <v/>
      </c>
      <c r="V16" s="23">
        <f>IF(param_UseLineDetail="YES",IFERROR(IF(AND(V$4&gt;=$F6,V$4&lt;=$G6,$D6&gt;0),$H6*(1-param_GP_LayMortWeekly)^INT((V$4-$F6)/7),0),0)+IFERROR(IF(AND(V$4&gt;=$F7,V$4&lt;=$G7,$D7&gt;0),$H7*(1-param_GP_LayMortWeekly)^INT((V$4-$F7)/7),0),0)+IFERROR(IF(AND(V$4&gt;=$F8,V$4&lt;=$G8,$D8&gt;0),$H8*(1-param_GP_LayMortWeekly)^INT((V$4-$F8)/7),0),0)+IFERROR(IF(AND(V$4&gt;=$F9,V$4&lt;=$G9,$D9&gt;0),$H9*(1-param_GP_LayMortWeekly)^INT((V$4-$F9)/7),0),0)+IFERROR(IF(AND(V$4&gt;=$F10,V$4&lt;=$G10,$D10&gt;0),$H10*(1-param_GP_LayMortWeekly)^INT((V$4-$F10)/7),0),0)+IFERROR(IF(AND(V$4&gt;=$F11,V$4&lt;=$G11,$D11&gt;0),$H11*(1-param_GP_LayMortWeekly)^INT((V$4-$F11)/7),0),0),V12)</f>
        <v/>
      </c>
      <c r="W16" s="23">
        <f>IF(param_UseLineDetail="YES",IFERROR(IF(AND(W$4&gt;=$F6,W$4&lt;=$G6,$D6&gt;0),$H6*(1-param_GP_LayMortWeekly)^INT((W$4-$F6)/7),0),0)+IFERROR(IF(AND(W$4&gt;=$F7,W$4&lt;=$G7,$D7&gt;0),$H7*(1-param_GP_LayMortWeekly)^INT((W$4-$F7)/7),0),0)+IFERROR(IF(AND(W$4&gt;=$F8,W$4&lt;=$G8,$D8&gt;0),$H8*(1-param_GP_LayMortWeekly)^INT((W$4-$F8)/7),0),0)+IFERROR(IF(AND(W$4&gt;=$F9,W$4&lt;=$G9,$D9&gt;0),$H9*(1-param_GP_LayMortWeekly)^INT((W$4-$F9)/7),0),0)+IFERROR(IF(AND(W$4&gt;=$F10,W$4&lt;=$G10,$D10&gt;0),$H10*(1-param_GP_LayMortWeekly)^INT((W$4-$F10)/7),0),0)+IFERROR(IF(AND(W$4&gt;=$F11,W$4&lt;=$G11,$D11&gt;0),$H11*(1-param_GP_LayMortWeekly)^INT((W$4-$F11)/7),0),0),W12)</f>
        <v/>
      </c>
      <c r="X16" s="23">
        <f>IF(param_UseLineDetail="YES",IFERROR(IF(AND(X$4&gt;=$F6,X$4&lt;=$G6,$D6&gt;0),$H6*(1-param_GP_LayMortWeekly)^INT((X$4-$F6)/7),0),0)+IFERROR(IF(AND(X$4&gt;=$F7,X$4&lt;=$G7,$D7&gt;0),$H7*(1-param_GP_LayMortWeekly)^INT((X$4-$F7)/7),0),0)+IFERROR(IF(AND(X$4&gt;=$F8,X$4&lt;=$G8,$D8&gt;0),$H8*(1-param_GP_LayMortWeekly)^INT((X$4-$F8)/7),0),0)+IFERROR(IF(AND(X$4&gt;=$F9,X$4&lt;=$G9,$D9&gt;0),$H9*(1-param_GP_LayMortWeekly)^INT((X$4-$F9)/7),0),0)+IFERROR(IF(AND(X$4&gt;=$F10,X$4&lt;=$G10,$D10&gt;0),$H10*(1-param_GP_LayMortWeekly)^INT((X$4-$F10)/7),0),0)+IFERROR(IF(AND(X$4&gt;=$F11,X$4&lt;=$G11,$D11&gt;0),$H11*(1-param_GP_LayMortWeekly)^INT((X$4-$F11)/7),0),0),X12)</f>
        <v/>
      </c>
      <c r="Y16" s="23">
        <f>IF(param_UseLineDetail="YES",IFERROR(IF(AND(Y$4&gt;=$F6,Y$4&lt;=$G6,$D6&gt;0),$H6*(1-param_GP_LayMortWeekly)^INT((Y$4-$F6)/7),0),0)+IFERROR(IF(AND(Y$4&gt;=$F7,Y$4&lt;=$G7,$D7&gt;0),$H7*(1-param_GP_LayMortWeekly)^INT((Y$4-$F7)/7),0),0)+IFERROR(IF(AND(Y$4&gt;=$F8,Y$4&lt;=$G8,$D8&gt;0),$H8*(1-param_GP_LayMortWeekly)^INT((Y$4-$F8)/7),0),0)+IFERROR(IF(AND(Y$4&gt;=$F9,Y$4&lt;=$G9,$D9&gt;0),$H9*(1-param_GP_LayMortWeekly)^INT((Y$4-$F9)/7),0),0)+IFERROR(IF(AND(Y$4&gt;=$F10,Y$4&lt;=$G10,$D10&gt;0),$H10*(1-param_GP_LayMortWeekly)^INT((Y$4-$F10)/7),0),0)+IFERROR(IF(AND(Y$4&gt;=$F11,Y$4&lt;=$G11,$D11&gt;0),$H11*(1-param_GP_LayMortWeekly)^INT((Y$4-$F11)/7),0),0),Y12)</f>
        <v/>
      </c>
      <c r="Z16" s="23">
        <f>IF(param_UseLineDetail="YES",IFERROR(IF(AND(Z$4&gt;=$F6,Z$4&lt;=$G6,$D6&gt;0),$H6*(1-param_GP_LayMortWeekly)^INT((Z$4-$F6)/7),0),0)+IFERROR(IF(AND(Z$4&gt;=$F7,Z$4&lt;=$G7,$D7&gt;0),$H7*(1-param_GP_LayMortWeekly)^INT((Z$4-$F7)/7),0),0)+IFERROR(IF(AND(Z$4&gt;=$F8,Z$4&lt;=$G8,$D8&gt;0),$H8*(1-param_GP_LayMortWeekly)^INT((Z$4-$F8)/7),0),0)+IFERROR(IF(AND(Z$4&gt;=$F9,Z$4&lt;=$G9,$D9&gt;0),$H9*(1-param_GP_LayMortWeekly)^INT((Z$4-$F9)/7),0),0)+IFERROR(IF(AND(Z$4&gt;=$F10,Z$4&lt;=$G10,$D10&gt;0),$H10*(1-param_GP_LayMortWeekly)^INT((Z$4-$F10)/7),0),0)+IFERROR(IF(AND(Z$4&gt;=$F11,Z$4&lt;=$G11,$D11&gt;0),$H11*(1-param_GP_LayMortWeekly)^INT((Z$4-$F11)/7),0),0),Z12)</f>
        <v/>
      </c>
      <c r="AA16" s="23">
        <f>IF(param_UseLineDetail="YES",IFERROR(IF(AND(AA$4&gt;=$F6,AA$4&lt;=$G6,$D6&gt;0),$H6*(1-param_GP_LayMortWeekly)^INT((AA$4-$F6)/7),0),0)+IFERROR(IF(AND(AA$4&gt;=$F7,AA$4&lt;=$G7,$D7&gt;0),$H7*(1-param_GP_LayMortWeekly)^INT((AA$4-$F7)/7),0),0)+IFERROR(IF(AND(AA$4&gt;=$F8,AA$4&lt;=$G8,$D8&gt;0),$H8*(1-param_GP_LayMortWeekly)^INT((AA$4-$F8)/7),0),0)+IFERROR(IF(AND(AA$4&gt;=$F9,AA$4&lt;=$G9,$D9&gt;0),$H9*(1-param_GP_LayMortWeekly)^INT((AA$4-$F9)/7),0),0)+IFERROR(IF(AND(AA$4&gt;=$F10,AA$4&lt;=$G10,$D10&gt;0),$H10*(1-param_GP_LayMortWeekly)^INT((AA$4-$F10)/7),0),0)+IFERROR(IF(AND(AA$4&gt;=$F11,AA$4&lt;=$G11,$D11&gt;0),$H11*(1-param_GP_LayMortWeekly)^INT((AA$4-$F11)/7),0),0),AA12)</f>
        <v/>
      </c>
      <c r="AB16" s="23">
        <f>IF(param_UseLineDetail="YES",IFERROR(IF(AND(AB$4&gt;=$F6,AB$4&lt;=$G6,$D6&gt;0),$H6*(1-param_GP_LayMortWeekly)^INT((AB$4-$F6)/7),0),0)+IFERROR(IF(AND(AB$4&gt;=$F7,AB$4&lt;=$G7,$D7&gt;0),$H7*(1-param_GP_LayMortWeekly)^INT((AB$4-$F7)/7),0),0)+IFERROR(IF(AND(AB$4&gt;=$F8,AB$4&lt;=$G8,$D8&gt;0),$H8*(1-param_GP_LayMortWeekly)^INT((AB$4-$F8)/7),0),0)+IFERROR(IF(AND(AB$4&gt;=$F9,AB$4&lt;=$G9,$D9&gt;0),$H9*(1-param_GP_LayMortWeekly)^INT((AB$4-$F9)/7),0),0)+IFERROR(IF(AND(AB$4&gt;=$F10,AB$4&lt;=$G10,$D10&gt;0),$H10*(1-param_GP_LayMortWeekly)^INT((AB$4-$F10)/7),0),0)+IFERROR(IF(AND(AB$4&gt;=$F11,AB$4&lt;=$G11,$D11&gt;0),$H11*(1-param_GP_LayMortWeekly)^INT((AB$4-$F11)/7),0),0),AB12)</f>
        <v/>
      </c>
      <c r="AC16" s="23">
        <f>IF(param_UseLineDetail="YES",IFERROR(IF(AND(AC$4&gt;=$F6,AC$4&lt;=$G6,$D6&gt;0),$H6*(1-param_GP_LayMortWeekly)^INT((AC$4-$F6)/7),0),0)+IFERROR(IF(AND(AC$4&gt;=$F7,AC$4&lt;=$G7,$D7&gt;0),$H7*(1-param_GP_LayMortWeekly)^INT((AC$4-$F7)/7),0),0)+IFERROR(IF(AND(AC$4&gt;=$F8,AC$4&lt;=$G8,$D8&gt;0),$H8*(1-param_GP_LayMortWeekly)^INT((AC$4-$F8)/7),0),0)+IFERROR(IF(AND(AC$4&gt;=$F9,AC$4&lt;=$G9,$D9&gt;0),$H9*(1-param_GP_LayMortWeekly)^INT((AC$4-$F9)/7),0),0)+IFERROR(IF(AND(AC$4&gt;=$F10,AC$4&lt;=$G10,$D10&gt;0),$H10*(1-param_GP_LayMortWeekly)^INT((AC$4-$F10)/7),0),0)+IFERROR(IF(AND(AC$4&gt;=$F11,AC$4&lt;=$G11,$D11&gt;0),$H11*(1-param_GP_LayMortWeekly)^INT((AC$4-$F11)/7),0),0),AC12)</f>
        <v/>
      </c>
      <c r="AD16" s="23">
        <f>IF(param_UseLineDetail="YES",IFERROR(IF(AND(AD$4&gt;=$F6,AD$4&lt;=$G6,$D6&gt;0),$H6*(1-param_GP_LayMortWeekly)^INT((AD$4-$F6)/7),0),0)+IFERROR(IF(AND(AD$4&gt;=$F7,AD$4&lt;=$G7,$D7&gt;0),$H7*(1-param_GP_LayMortWeekly)^INT((AD$4-$F7)/7),0),0)+IFERROR(IF(AND(AD$4&gt;=$F8,AD$4&lt;=$G8,$D8&gt;0),$H8*(1-param_GP_LayMortWeekly)^INT((AD$4-$F8)/7),0),0)+IFERROR(IF(AND(AD$4&gt;=$F9,AD$4&lt;=$G9,$D9&gt;0),$H9*(1-param_GP_LayMortWeekly)^INT((AD$4-$F9)/7),0),0)+IFERROR(IF(AND(AD$4&gt;=$F10,AD$4&lt;=$G10,$D10&gt;0),$H10*(1-param_GP_LayMortWeekly)^INT((AD$4-$F10)/7),0),0)+IFERROR(IF(AND(AD$4&gt;=$F11,AD$4&lt;=$G11,$D11&gt;0),$H11*(1-param_GP_LayMortWeekly)^INT((AD$4-$F11)/7),0),0),AD12)</f>
        <v/>
      </c>
      <c r="AE16" s="23">
        <f>IF(param_UseLineDetail="YES",IFERROR(IF(AND(AE$4&gt;=$F6,AE$4&lt;=$G6,$D6&gt;0),$H6*(1-param_GP_LayMortWeekly)^INT((AE$4-$F6)/7),0),0)+IFERROR(IF(AND(AE$4&gt;=$F7,AE$4&lt;=$G7,$D7&gt;0),$H7*(1-param_GP_LayMortWeekly)^INT((AE$4-$F7)/7),0),0)+IFERROR(IF(AND(AE$4&gt;=$F8,AE$4&lt;=$G8,$D8&gt;0),$H8*(1-param_GP_LayMortWeekly)^INT((AE$4-$F8)/7),0),0)+IFERROR(IF(AND(AE$4&gt;=$F9,AE$4&lt;=$G9,$D9&gt;0),$H9*(1-param_GP_LayMortWeekly)^INT((AE$4-$F9)/7),0),0)+IFERROR(IF(AND(AE$4&gt;=$F10,AE$4&lt;=$G10,$D10&gt;0),$H10*(1-param_GP_LayMortWeekly)^INT((AE$4-$F10)/7),0),0)+IFERROR(IF(AND(AE$4&gt;=$F11,AE$4&lt;=$G11,$D11&gt;0),$H11*(1-param_GP_LayMortWeekly)^INT((AE$4-$F11)/7),0),0),AE12)</f>
        <v/>
      </c>
      <c r="AF16" s="23">
        <f>IF(param_UseLineDetail="YES",IFERROR(IF(AND(AF$4&gt;=$F6,AF$4&lt;=$G6,$D6&gt;0),$H6*(1-param_GP_LayMortWeekly)^INT((AF$4-$F6)/7),0),0)+IFERROR(IF(AND(AF$4&gt;=$F7,AF$4&lt;=$G7,$D7&gt;0),$H7*(1-param_GP_LayMortWeekly)^INT((AF$4-$F7)/7),0),0)+IFERROR(IF(AND(AF$4&gt;=$F8,AF$4&lt;=$G8,$D8&gt;0),$H8*(1-param_GP_LayMortWeekly)^INT((AF$4-$F8)/7),0),0)+IFERROR(IF(AND(AF$4&gt;=$F9,AF$4&lt;=$G9,$D9&gt;0),$H9*(1-param_GP_LayMortWeekly)^INT((AF$4-$F9)/7),0),0)+IFERROR(IF(AND(AF$4&gt;=$F10,AF$4&lt;=$G10,$D10&gt;0),$H10*(1-param_GP_LayMortWeekly)^INT((AF$4-$F10)/7),0),0)+IFERROR(IF(AND(AF$4&gt;=$F11,AF$4&lt;=$G11,$D11&gt;0),$H11*(1-param_GP_LayMortWeekly)^INT((AF$4-$F11)/7),0),0),AF12)</f>
        <v/>
      </c>
      <c r="AG16" s="23">
        <f>IF(param_UseLineDetail="YES",IFERROR(IF(AND(AG$4&gt;=$F6,AG$4&lt;=$G6,$D6&gt;0),$H6*(1-param_GP_LayMortWeekly)^INT((AG$4-$F6)/7),0),0)+IFERROR(IF(AND(AG$4&gt;=$F7,AG$4&lt;=$G7,$D7&gt;0),$H7*(1-param_GP_LayMortWeekly)^INT((AG$4-$F7)/7),0),0)+IFERROR(IF(AND(AG$4&gt;=$F8,AG$4&lt;=$G8,$D8&gt;0),$H8*(1-param_GP_LayMortWeekly)^INT((AG$4-$F8)/7),0),0)+IFERROR(IF(AND(AG$4&gt;=$F9,AG$4&lt;=$G9,$D9&gt;0),$H9*(1-param_GP_LayMortWeekly)^INT((AG$4-$F9)/7),0),0)+IFERROR(IF(AND(AG$4&gt;=$F10,AG$4&lt;=$G10,$D10&gt;0),$H10*(1-param_GP_LayMortWeekly)^INT((AG$4-$F10)/7),0),0)+IFERROR(IF(AND(AG$4&gt;=$F11,AG$4&lt;=$G11,$D11&gt;0),$H11*(1-param_GP_LayMortWeekly)^INT((AG$4-$F11)/7),0),0),AG12)</f>
        <v/>
      </c>
      <c r="AH16" s="23">
        <f>IF(param_UseLineDetail="YES",IFERROR(IF(AND(AH$4&gt;=$F6,AH$4&lt;=$G6,$D6&gt;0),$H6*(1-param_GP_LayMortWeekly)^INT((AH$4-$F6)/7),0),0)+IFERROR(IF(AND(AH$4&gt;=$F7,AH$4&lt;=$G7,$D7&gt;0),$H7*(1-param_GP_LayMortWeekly)^INT((AH$4-$F7)/7),0),0)+IFERROR(IF(AND(AH$4&gt;=$F8,AH$4&lt;=$G8,$D8&gt;0),$H8*(1-param_GP_LayMortWeekly)^INT((AH$4-$F8)/7),0),0)+IFERROR(IF(AND(AH$4&gt;=$F9,AH$4&lt;=$G9,$D9&gt;0),$H9*(1-param_GP_LayMortWeekly)^INT((AH$4-$F9)/7),0),0)+IFERROR(IF(AND(AH$4&gt;=$F10,AH$4&lt;=$G10,$D10&gt;0),$H10*(1-param_GP_LayMortWeekly)^INT((AH$4-$F10)/7),0),0)+IFERROR(IF(AND(AH$4&gt;=$F11,AH$4&lt;=$G11,$D11&gt;0),$H11*(1-param_GP_LayMortWeekly)^INT((AH$4-$F11)/7),0),0),AH12)</f>
        <v/>
      </c>
      <c r="AI16" s="23">
        <f>IF(param_UseLineDetail="YES",IFERROR(IF(AND(AI$4&gt;=$F6,AI$4&lt;=$G6,$D6&gt;0),$H6*(1-param_GP_LayMortWeekly)^INT((AI$4-$F6)/7),0),0)+IFERROR(IF(AND(AI$4&gt;=$F7,AI$4&lt;=$G7,$D7&gt;0),$H7*(1-param_GP_LayMortWeekly)^INT((AI$4-$F7)/7),0),0)+IFERROR(IF(AND(AI$4&gt;=$F8,AI$4&lt;=$G8,$D8&gt;0),$H8*(1-param_GP_LayMortWeekly)^INT((AI$4-$F8)/7),0),0)+IFERROR(IF(AND(AI$4&gt;=$F9,AI$4&lt;=$G9,$D9&gt;0),$H9*(1-param_GP_LayMortWeekly)^INT((AI$4-$F9)/7),0),0)+IFERROR(IF(AND(AI$4&gt;=$F10,AI$4&lt;=$G10,$D10&gt;0),$H10*(1-param_GP_LayMortWeekly)^INT((AI$4-$F10)/7),0),0)+IFERROR(IF(AND(AI$4&gt;=$F11,AI$4&lt;=$G11,$D11&gt;0),$H11*(1-param_GP_LayMortWeekly)^INT((AI$4-$F11)/7),0),0),AI12)</f>
        <v/>
      </c>
      <c r="AJ16" s="23">
        <f>IF(param_UseLineDetail="YES",IFERROR(IF(AND(AJ$4&gt;=$F6,AJ$4&lt;=$G6,$D6&gt;0),$H6*(1-param_GP_LayMortWeekly)^INT((AJ$4-$F6)/7),0),0)+IFERROR(IF(AND(AJ$4&gt;=$F7,AJ$4&lt;=$G7,$D7&gt;0),$H7*(1-param_GP_LayMortWeekly)^INT((AJ$4-$F7)/7),0),0)+IFERROR(IF(AND(AJ$4&gt;=$F8,AJ$4&lt;=$G8,$D8&gt;0),$H8*(1-param_GP_LayMortWeekly)^INT((AJ$4-$F8)/7),0),0)+IFERROR(IF(AND(AJ$4&gt;=$F9,AJ$4&lt;=$G9,$D9&gt;0),$H9*(1-param_GP_LayMortWeekly)^INT((AJ$4-$F9)/7),0),0)+IFERROR(IF(AND(AJ$4&gt;=$F10,AJ$4&lt;=$G10,$D10&gt;0),$H10*(1-param_GP_LayMortWeekly)^INT((AJ$4-$F10)/7),0),0)+IFERROR(IF(AND(AJ$4&gt;=$F11,AJ$4&lt;=$G11,$D11&gt;0),$H11*(1-param_GP_LayMortWeekly)^INT((AJ$4-$F11)/7),0),0),AJ12)</f>
        <v/>
      </c>
      <c r="AK16" s="23">
        <f>IF(param_UseLineDetail="YES",IFERROR(IF(AND(AK$4&gt;=$F6,AK$4&lt;=$G6,$D6&gt;0),$H6*(1-param_GP_LayMortWeekly)^INT((AK$4-$F6)/7),0),0)+IFERROR(IF(AND(AK$4&gt;=$F7,AK$4&lt;=$G7,$D7&gt;0),$H7*(1-param_GP_LayMortWeekly)^INT((AK$4-$F7)/7),0),0)+IFERROR(IF(AND(AK$4&gt;=$F8,AK$4&lt;=$G8,$D8&gt;0),$H8*(1-param_GP_LayMortWeekly)^INT((AK$4-$F8)/7),0),0)+IFERROR(IF(AND(AK$4&gt;=$F9,AK$4&lt;=$G9,$D9&gt;0),$H9*(1-param_GP_LayMortWeekly)^INT((AK$4-$F9)/7),0),0)+IFERROR(IF(AND(AK$4&gt;=$F10,AK$4&lt;=$G10,$D10&gt;0),$H10*(1-param_GP_LayMortWeekly)^INT((AK$4-$F10)/7),0),0)+IFERROR(IF(AND(AK$4&gt;=$F11,AK$4&lt;=$G11,$D11&gt;0),$H11*(1-param_GP_LayMortWeekly)^INT((AK$4-$F11)/7),0),0),AK12)</f>
        <v/>
      </c>
      <c r="AL16" s="23">
        <f>IF(param_UseLineDetail="YES",IFERROR(IF(AND(AL$4&gt;=$F6,AL$4&lt;=$G6,$D6&gt;0),$H6*(1-param_GP_LayMortWeekly)^INT((AL$4-$F6)/7),0),0)+IFERROR(IF(AND(AL$4&gt;=$F7,AL$4&lt;=$G7,$D7&gt;0),$H7*(1-param_GP_LayMortWeekly)^INT((AL$4-$F7)/7),0),0)+IFERROR(IF(AND(AL$4&gt;=$F8,AL$4&lt;=$G8,$D8&gt;0),$H8*(1-param_GP_LayMortWeekly)^INT((AL$4-$F8)/7),0),0)+IFERROR(IF(AND(AL$4&gt;=$F9,AL$4&lt;=$G9,$D9&gt;0),$H9*(1-param_GP_LayMortWeekly)^INT((AL$4-$F9)/7),0),0)+IFERROR(IF(AND(AL$4&gt;=$F10,AL$4&lt;=$G10,$D10&gt;0),$H10*(1-param_GP_LayMortWeekly)^INT((AL$4-$F10)/7),0),0)+IFERROR(IF(AND(AL$4&gt;=$F11,AL$4&lt;=$G11,$D11&gt;0),$H11*(1-param_GP_LayMortWeekly)^INT((AL$4-$F11)/7),0),0),AL12)</f>
        <v/>
      </c>
      <c r="AM16" s="23">
        <f>IF(param_UseLineDetail="YES",IFERROR(IF(AND(AM$4&gt;=$F6,AM$4&lt;=$G6,$D6&gt;0),$H6*(1-param_GP_LayMortWeekly)^INT((AM$4-$F6)/7),0),0)+IFERROR(IF(AND(AM$4&gt;=$F7,AM$4&lt;=$G7,$D7&gt;0),$H7*(1-param_GP_LayMortWeekly)^INT((AM$4-$F7)/7),0),0)+IFERROR(IF(AND(AM$4&gt;=$F8,AM$4&lt;=$G8,$D8&gt;0),$H8*(1-param_GP_LayMortWeekly)^INT((AM$4-$F8)/7),0),0)+IFERROR(IF(AND(AM$4&gt;=$F9,AM$4&lt;=$G9,$D9&gt;0),$H9*(1-param_GP_LayMortWeekly)^INT((AM$4-$F9)/7),0),0)+IFERROR(IF(AND(AM$4&gt;=$F10,AM$4&lt;=$G10,$D10&gt;0),$H10*(1-param_GP_LayMortWeekly)^INT((AM$4-$F10)/7),0),0)+IFERROR(IF(AND(AM$4&gt;=$F11,AM$4&lt;=$G11,$D11&gt;0),$H11*(1-param_GP_LayMortWeekly)^INT((AM$4-$F11)/7),0),0),AM12)</f>
        <v/>
      </c>
      <c r="AN16" s="23">
        <f>IF(param_UseLineDetail="YES",IFERROR(IF(AND(AN$4&gt;=$F6,AN$4&lt;=$G6,$D6&gt;0),$H6*(1-param_GP_LayMortWeekly)^INT((AN$4-$F6)/7),0),0)+IFERROR(IF(AND(AN$4&gt;=$F7,AN$4&lt;=$G7,$D7&gt;0),$H7*(1-param_GP_LayMortWeekly)^INT((AN$4-$F7)/7),0),0)+IFERROR(IF(AND(AN$4&gt;=$F8,AN$4&lt;=$G8,$D8&gt;0),$H8*(1-param_GP_LayMortWeekly)^INT((AN$4-$F8)/7),0),0)+IFERROR(IF(AND(AN$4&gt;=$F9,AN$4&lt;=$G9,$D9&gt;0),$H9*(1-param_GP_LayMortWeekly)^INT((AN$4-$F9)/7),0),0)+IFERROR(IF(AND(AN$4&gt;=$F10,AN$4&lt;=$G10,$D10&gt;0),$H10*(1-param_GP_LayMortWeekly)^INT((AN$4-$F10)/7),0),0)+IFERROR(IF(AND(AN$4&gt;=$F11,AN$4&lt;=$G11,$D11&gt;0),$H11*(1-param_GP_LayMortWeekly)^INT((AN$4-$F11)/7),0),0),AN12)</f>
        <v/>
      </c>
      <c r="AO16" s="23">
        <f>IF(param_UseLineDetail="YES",IFERROR(IF(AND(AO$4&gt;=$F6,AO$4&lt;=$G6,$D6&gt;0),$H6*(1-param_GP_LayMortWeekly)^INT((AO$4-$F6)/7),0),0)+IFERROR(IF(AND(AO$4&gt;=$F7,AO$4&lt;=$G7,$D7&gt;0),$H7*(1-param_GP_LayMortWeekly)^INT((AO$4-$F7)/7),0),0)+IFERROR(IF(AND(AO$4&gt;=$F8,AO$4&lt;=$G8,$D8&gt;0),$H8*(1-param_GP_LayMortWeekly)^INT((AO$4-$F8)/7),0),0)+IFERROR(IF(AND(AO$4&gt;=$F9,AO$4&lt;=$G9,$D9&gt;0),$H9*(1-param_GP_LayMortWeekly)^INT((AO$4-$F9)/7),0),0)+IFERROR(IF(AND(AO$4&gt;=$F10,AO$4&lt;=$G10,$D10&gt;0),$H10*(1-param_GP_LayMortWeekly)^INT((AO$4-$F10)/7),0),0)+IFERROR(IF(AND(AO$4&gt;=$F11,AO$4&lt;=$G11,$D11&gt;0),$H11*(1-param_GP_LayMortWeekly)^INT((AO$4-$F11)/7),0),0),AO12)</f>
        <v/>
      </c>
      <c r="AP16" s="23">
        <f>IF(param_UseLineDetail="YES",IFERROR(IF(AND(AP$4&gt;=$F6,AP$4&lt;=$G6,$D6&gt;0),$H6*(1-param_GP_LayMortWeekly)^INT((AP$4-$F6)/7),0),0)+IFERROR(IF(AND(AP$4&gt;=$F7,AP$4&lt;=$G7,$D7&gt;0),$H7*(1-param_GP_LayMortWeekly)^INT((AP$4-$F7)/7),0),0)+IFERROR(IF(AND(AP$4&gt;=$F8,AP$4&lt;=$G8,$D8&gt;0),$H8*(1-param_GP_LayMortWeekly)^INT((AP$4-$F8)/7),0),0)+IFERROR(IF(AND(AP$4&gt;=$F9,AP$4&lt;=$G9,$D9&gt;0),$H9*(1-param_GP_LayMortWeekly)^INT((AP$4-$F9)/7),0),0)+IFERROR(IF(AND(AP$4&gt;=$F10,AP$4&lt;=$G10,$D10&gt;0),$H10*(1-param_GP_LayMortWeekly)^INT((AP$4-$F10)/7),0),0)+IFERROR(IF(AND(AP$4&gt;=$F11,AP$4&lt;=$G11,$D11&gt;0),$H11*(1-param_GP_LayMortWeekly)^INT((AP$4-$F11)/7),0),0),AP12)</f>
        <v/>
      </c>
      <c r="AQ16" s="23">
        <f>IF(param_UseLineDetail="YES",IFERROR(IF(AND(AQ$4&gt;=$F6,AQ$4&lt;=$G6,$D6&gt;0),$H6*(1-param_GP_LayMortWeekly)^INT((AQ$4-$F6)/7),0),0)+IFERROR(IF(AND(AQ$4&gt;=$F7,AQ$4&lt;=$G7,$D7&gt;0),$H7*(1-param_GP_LayMortWeekly)^INT((AQ$4-$F7)/7),0),0)+IFERROR(IF(AND(AQ$4&gt;=$F8,AQ$4&lt;=$G8,$D8&gt;0),$H8*(1-param_GP_LayMortWeekly)^INT((AQ$4-$F8)/7),0),0)+IFERROR(IF(AND(AQ$4&gt;=$F9,AQ$4&lt;=$G9,$D9&gt;0),$H9*(1-param_GP_LayMortWeekly)^INT((AQ$4-$F9)/7),0),0)+IFERROR(IF(AND(AQ$4&gt;=$F10,AQ$4&lt;=$G10,$D10&gt;0),$H10*(1-param_GP_LayMortWeekly)^INT((AQ$4-$F10)/7),0),0)+IFERROR(IF(AND(AQ$4&gt;=$F11,AQ$4&lt;=$G11,$D11&gt;0),$H11*(1-param_GP_LayMortWeekly)^INT((AQ$4-$F11)/7),0),0),AQ12)</f>
        <v/>
      </c>
      <c r="AR16" s="23">
        <f>IF(param_UseLineDetail="YES",IFERROR(IF(AND(AR$4&gt;=$F6,AR$4&lt;=$G6,$D6&gt;0),$H6*(1-param_GP_LayMortWeekly)^INT((AR$4-$F6)/7),0),0)+IFERROR(IF(AND(AR$4&gt;=$F7,AR$4&lt;=$G7,$D7&gt;0),$H7*(1-param_GP_LayMortWeekly)^INT((AR$4-$F7)/7),0),0)+IFERROR(IF(AND(AR$4&gt;=$F8,AR$4&lt;=$G8,$D8&gt;0),$H8*(1-param_GP_LayMortWeekly)^INT((AR$4-$F8)/7),0),0)+IFERROR(IF(AND(AR$4&gt;=$F9,AR$4&lt;=$G9,$D9&gt;0),$H9*(1-param_GP_LayMortWeekly)^INT((AR$4-$F9)/7),0),0)+IFERROR(IF(AND(AR$4&gt;=$F10,AR$4&lt;=$G10,$D10&gt;0),$H10*(1-param_GP_LayMortWeekly)^INT((AR$4-$F10)/7),0),0)+IFERROR(IF(AND(AR$4&gt;=$F11,AR$4&lt;=$G11,$D11&gt;0),$H11*(1-param_GP_LayMortWeekly)^INT((AR$4-$F11)/7),0),0),AR12)</f>
        <v/>
      </c>
      <c r="AS16" s="23">
        <f>IF(param_UseLineDetail="YES",IFERROR(IF(AND(AS$4&gt;=$F6,AS$4&lt;=$G6,$D6&gt;0),$H6*(1-param_GP_LayMortWeekly)^INT((AS$4-$F6)/7),0),0)+IFERROR(IF(AND(AS$4&gt;=$F7,AS$4&lt;=$G7,$D7&gt;0),$H7*(1-param_GP_LayMortWeekly)^INT((AS$4-$F7)/7),0),0)+IFERROR(IF(AND(AS$4&gt;=$F8,AS$4&lt;=$G8,$D8&gt;0),$H8*(1-param_GP_LayMortWeekly)^INT((AS$4-$F8)/7),0),0)+IFERROR(IF(AND(AS$4&gt;=$F9,AS$4&lt;=$G9,$D9&gt;0),$H9*(1-param_GP_LayMortWeekly)^INT((AS$4-$F9)/7),0),0)+IFERROR(IF(AND(AS$4&gt;=$F10,AS$4&lt;=$G10,$D10&gt;0),$H10*(1-param_GP_LayMortWeekly)^INT((AS$4-$F10)/7),0),0)+IFERROR(IF(AND(AS$4&gt;=$F11,AS$4&lt;=$G11,$D11&gt;0),$H11*(1-param_GP_LayMortWeekly)^INT((AS$4-$F11)/7),0),0),AS12)</f>
        <v/>
      </c>
      <c r="AT16" s="23">
        <f>IF(param_UseLineDetail="YES",IFERROR(IF(AND(AT$4&gt;=$F6,AT$4&lt;=$G6,$D6&gt;0),$H6*(1-param_GP_LayMortWeekly)^INT((AT$4-$F6)/7),0),0)+IFERROR(IF(AND(AT$4&gt;=$F7,AT$4&lt;=$G7,$D7&gt;0),$H7*(1-param_GP_LayMortWeekly)^INT((AT$4-$F7)/7),0),0)+IFERROR(IF(AND(AT$4&gt;=$F8,AT$4&lt;=$G8,$D8&gt;0),$H8*(1-param_GP_LayMortWeekly)^INT((AT$4-$F8)/7),0),0)+IFERROR(IF(AND(AT$4&gt;=$F9,AT$4&lt;=$G9,$D9&gt;0),$H9*(1-param_GP_LayMortWeekly)^INT((AT$4-$F9)/7),0),0)+IFERROR(IF(AND(AT$4&gt;=$F10,AT$4&lt;=$G10,$D10&gt;0),$H10*(1-param_GP_LayMortWeekly)^INT((AT$4-$F10)/7),0),0)+IFERROR(IF(AND(AT$4&gt;=$F11,AT$4&lt;=$G11,$D11&gt;0),$H11*(1-param_GP_LayMortWeekly)^INT((AT$4-$F11)/7),0),0),AT12)</f>
        <v/>
      </c>
      <c r="AU16" s="23">
        <f>IF(param_UseLineDetail="YES",IFERROR(IF(AND(AU$4&gt;=$F6,AU$4&lt;=$G6,$D6&gt;0),$H6*(1-param_GP_LayMortWeekly)^INT((AU$4-$F6)/7),0),0)+IFERROR(IF(AND(AU$4&gt;=$F7,AU$4&lt;=$G7,$D7&gt;0),$H7*(1-param_GP_LayMortWeekly)^INT((AU$4-$F7)/7),0),0)+IFERROR(IF(AND(AU$4&gt;=$F8,AU$4&lt;=$G8,$D8&gt;0),$H8*(1-param_GP_LayMortWeekly)^INT((AU$4-$F8)/7),0),0)+IFERROR(IF(AND(AU$4&gt;=$F9,AU$4&lt;=$G9,$D9&gt;0),$H9*(1-param_GP_LayMortWeekly)^INT((AU$4-$F9)/7),0),0)+IFERROR(IF(AND(AU$4&gt;=$F10,AU$4&lt;=$G10,$D10&gt;0),$H10*(1-param_GP_LayMortWeekly)^INT((AU$4-$F10)/7),0),0)+IFERROR(IF(AND(AU$4&gt;=$F11,AU$4&lt;=$G11,$D11&gt;0),$H11*(1-param_GP_LayMortWeekly)^INT((AU$4-$F11)/7),0),0),AU12)</f>
        <v/>
      </c>
      <c r="AV16" s="23">
        <f>IF(param_UseLineDetail="YES",IFERROR(IF(AND(AV$4&gt;=$F6,AV$4&lt;=$G6,$D6&gt;0),$H6*(1-param_GP_LayMortWeekly)^INT((AV$4-$F6)/7),0),0)+IFERROR(IF(AND(AV$4&gt;=$F7,AV$4&lt;=$G7,$D7&gt;0),$H7*(1-param_GP_LayMortWeekly)^INT((AV$4-$F7)/7),0),0)+IFERROR(IF(AND(AV$4&gt;=$F8,AV$4&lt;=$G8,$D8&gt;0),$H8*(1-param_GP_LayMortWeekly)^INT((AV$4-$F8)/7),0),0)+IFERROR(IF(AND(AV$4&gt;=$F9,AV$4&lt;=$G9,$D9&gt;0),$H9*(1-param_GP_LayMortWeekly)^INT((AV$4-$F9)/7),0),0)+IFERROR(IF(AND(AV$4&gt;=$F10,AV$4&lt;=$G10,$D10&gt;0),$H10*(1-param_GP_LayMortWeekly)^INT((AV$4-$F10)/7),0),0)+IFERROR(IF(AND(AV$4&gt;=$F11,AV$4&lt;=$G11,$D11&gt;0),$H11*(1-param_GP_LayMortWeekly)^INT((AV$4-$F11)/7),0),0),AV12)</f>
        <v/>
      </c>
      <c r="AW16" s="23">
        <f>IF(param_UseLineDetail="YES",IFERROR(IF(AND(AW$4&gt;=$F6,AW$4&lt;=$G6,$D6&gt;0),$H6*(1-param_GP_LayMortWeekly)^INT((AW$4-$F6)/7),0),0)+IFERROR(IF(AND(AW$4&gt;=$F7,AW$4&lt;=$G7,$D7&gt;0),$H7*(1-param_GP_LayMortWeekly)^INT((AW$4-$F7)/7),0),0)+IFERROR(IF(AND(AW$4&gt;=$F8,AW$4&lt;=$G8,$D8&gt;0),$H8*(1-param_GP_LayMortWeekly)^INT((AW$4-$F8)/7),0),0)+IFERROR(IF(AND(AW$4&gt;=$F9,AW$4&lt;=$G9,$D9&gt;0),$H9*(1-param_GP_LayMortWeekly)^INT((AW$4-$F9)/7),0),0)+IFERROR(IF(AND(AW$4&gt;=$F10,AW$4&lt;=$G10,$D10&gt;0),$H10*(1-param_GP_LayMortWeekly)^INT((AW$4-$F10)/7),0),0)+IFERROR(IF(AND(AW$4&gt;=$F11,AW$4&lt;=$G11,$D11&gt;0),$H11*(1-param_GP_LayMortWeekly)^INT((AW$4-$F11)/7),0),0),AW12)</f>
        <v/>
      </c>
      <c r="AX16" s="23">
        <f>IF(param_UseLineDetail="YES",IFERROR(IF(AND(AX$4&gt;=$F6,AX$4&lt;=$G6,$D6&gt;0),$H6*(1-param_GP_LayMortWeekly)^INT((AX$4-$F6)/7),0),0)+IFERROR(IF(AND(AX$4&gt;=$F7,AX$4&lt;=$G7,$D7&gt;0),$H7*(1-param_GP_LayMortWeekly)^INT((AX$4-$F7)/7),0),0)+IFERROR(IF(AND(AX$4&gt;=$F8,AX$4&lt;=$G8,$D8&gt;0),$H8*(1-param_GP_LayMortWeekly)^INT((AX$4-$F8)/7),0),0)+IFERROR(IF(AND(AX$4&gt;=$F9,AX$4&lt;=$G9,$D9&gt;0),$H9*(1-param_GP_LayMortWeekly)^INT((AX$4-$F9)/7),0),0)+IFERROR(IF(AND(AX$4&gt;=$F10,AX$4&lt;=$G10,$D10&gt;0),$H10*(1-param_GP_LayMortWeekly)^INT((AX$4-$F10)/7),0),0)+IFERROR(IF(AND(AX$4&gt;=$F11,AX$4&lt;=$G11,$D11&gt;0),$H11*(1-param_GP_LayMortWeekly)^INT((AX$4-$F11)/7),0),0),AX12)</f>
        <v/>
      </c>
      <c r="AY16" s="23">
        <f>IF(param_UseLineDetail="YES",IFERROR(IF(AND(AY$4&gt;=$F6,AY$4&lt;=$G6,$D6&gt;0),$H6*(1-param_GP_LayMortWeekly)^INT((AY$4-$F6)/7),0),0)+IFERROR(IF(AND(AY$4&gt;=$F7,AY$4&lt;=$G7,$D7&gt;0),$H7*(1-param_GP_LayMortWeekly)^INT((AY$4-$F7)/7),0),0)+IFERROR(IF(AND(AY$4&gt;=$F8,AY$4&lt;=$G8,$D8&gt;0),$H8*(1-param_GP_LayMortWeekly)^INT((AY$4-$F8)/7),0),0)+IFERROR(IF(AND(AY$4&gt;=$F9,AY$4&lt;=$G9,$D9&gt;0),$H9*(1-param_GP_LayMortWeekly)^INT((AY$4-$F9)/7),0),0)+IFERROR(IF(AND(AY$4&gt;=$F10,AY$4&lt;=$G10,$D10&gt;0),$H10*(1-param_GP_LayMortWeekly)^INT((AY$4-$F10)/7),0),0)+IFERROR(IF(AND(AY$4&gt;=$F11,AY$4&lt;=$G11,$D11&gt;0),$H11*(1-param_GP_LayMortWeekly)^INT((AY$4-$F11)/7),0),0),AY12)</f>
        <v/>
      </c>
      <c r="AZ16" s="23">
        <f>IF(param_UseLineDetail="YES",IFERROR(IF(AND(AZ$4&gt;=$F6,AZ$4&lt;=$G6,$D6&gt;0),$H6*(1-param_GP_LayMortWeekly)^INT((AZ$4-$F6)/7),0),0)+IFERROR(IF(AND(AZ$4&gt;=$F7,AZ$4&lt;=$G7,$D7&gt;0),$H7*(1-param_GP_LayMortWeekly)^INT((AZ$4-$F7)/7),0),0)+IFERROR(IF(AND(AZ$4&gt;=$F8,AZ$4&lt;=$G8,$D8&gt;0),$H8*(1-param_GP_LayMortWeekly)^INT((AZ$4-$F8)/7),0),0)+IFERROR(IF(AND(AZ$4&gt;=$F9,AZ$4&lt;=$G9,$D9&gt;0),$H9*(1-param_GP_LayMortWeekly)^INT((AZ$4-$F9)/7),0),0)+IFERROR(IF(AND(AZ$4&gt;=$F10,AZ$4&lt;=$G10,$D10&gt;0),$H10*(1-param_GP_LayMortWeekly)^INT((AZ$4-$F10)/7),0),0)+IFERROR(IF(AND(AZ$4&gt;=$F11,AZ$4&lt;=$G11,$D11&gt;0),$H11*(1-param_GP_LayMortWeekly)^INT((AZ$4-$F11)/7),0),0),AZ12)</f>
        <v/>
      </c>
      <c r="BA16" s="23">
        <f>IF(param_UseLineDetail="YES",IFERROR(IF(AND(BA$4&gt;=$F6,BA$4&lt;=$G6,$D6&gt;0),$H6*(1-param_GP_LayMortWeekly)^INT((BA$4-$F6)/7),0),0)+IFERROR(IF(AND(BA$4&gt;=$F7,BA$4&lt;=$G7,$D7&gt;0),$H7*(1-param_GP_LayMortWeekly)^INT((BA$4-$F7)/7),0),0)+IFERROR(IF(AND(BA$4&gt;=$F8,BA$4&lt;=$G8,$D8&gt;0),$H8*(1-param_GP_LayMortWeekly)^INT((BA$4-$F8)/7),0),0)+IFERROR(IF(AND(BA$4&gt;=$F9,BA$4&lt;=$G9,$D9&gt;0),$H9*(1-param_GP_LayMortWeekly)^INT((BA$4-$F9)/7),0),0)+IFERROR(IF(AND(BA$4&gt;=$F10,BA$4&lt;=$G10,$D10&gt;0),$H10*(1-param_GP_LayMortWeekly)^INT((BA$4-$F10)/7),0),0)+IFERROR(IF(AND(BA$4&gt;=$F11,BA$4&lt;=$G11,$D11&gt;0),$H11*(1-param_GP_LayMortWeekly)^INT((BA$4-$F11)/7),0),0),BA12)</f>
        <v/>
      </c>
      <c r="BB16" s="23">
        <f>IF(param_UseLineDetail="YES",IFERROR(IF(AND(BB$4&gt;=$F6,BB$4&lt;=$G6,$D6&gt;0),$H6*(1-param_GP_LayMortWeekly)^INT((BB$4-$F6)/7),0),0)+IFERROR(IF(AND(BB$4&gt;=$F7,BB$4&lt;=$G7,$D7&gt;0),$H7*(1-param_GP_LayMortWeekly)^INT((BB$4-$F7)/7),0),0)+IFERROR(IF(AND(BB$4&gt;=$F8,BB$4&lt;=$G8,$D8&gt;0),$H8*(1-param_GP_LayMortWeekly)^INT((BB$4-$F8)/7),0),0)+IFERROR(IF(AND(BB$4&gt;=$F9,BB$4&lt;=$G9,$D9&gt;0),$H9*(1-param_GP_LayMortWeekly)^INT((BB$4-$F9)/7),0),0)+IFERROR(IF(AND(BB$4&gt;=$F10,BB$4&lt;=$G10,$D10&gt;0),$H10*(1-param_GP_LayMortWeekly)^INT((BB$4-$F10)/7),0),0)+IFERROR(IF(AND(BB$4&gt;=$F11,BB$4&lt;=$G11,$D11&gt;0),$H11*(1-param_GP_LayMortWeekly)^INT((BB$4-$F11)/7),0),0),BB12)</f>
        <v/>
      </c>
      <c r="BC16" s="23">
        <f>IF(param_UseLineDetail="YES",IFERROR(IF(AND(BC$4&gt;=$F6,BC$4&lt;=$G6,$D6&gt;0),$H6*(1-param_GP_LayMortWeekly)^INT((BC$4-$F6)/7),0),0)+IFERROR(IF(AND(BC$4&gt;=$F7,BC$4&lt;=$G7,$D7&gt;0),$H7*(1-param_GP_LayMortWeekly)^INT((BC$4-$F7)/7),0),0)+IFERROR(IF(AND(BC$4&gt;=$F8,BC$4&lt;=$G8,$D8&gt;0),$H8*(1-param_GP_LayMortWeekly)^INT((BC$4-$F8)/7),0),0)+IFERROR(IF(AND(BC$4&gt;=$F9,BC$4&lt;=$G9,$D9&gt;0),$H9*(1-param_GP_LayMortWeekly)^INT((BC$4-$F9)/7),0),0)+IFERROR(IF(AND(BC$4&gt;=$F10,BC$4&lt;=$G10,$D10&gt;0),$H10*(1-param_GP_LayMortWeekly)^INT((BC$4-$F10)/7),0),0)+IFERROR(IF(AND(BC$4&gt;=$F11,BC$4&lt;=$G11,$D11&gt;0),$H11*(1-param_GP_LayMortWeekly)^INT((BC$4-$F11)/7),0),0),BC12)</f>
        <v/>
      </c>
      <c r="BD16" s="23">
        <f>IF(param_UseLineDetail="YES",IFERROR(IF(AND(BD$4&gt;=$F6,BD$4&lt;=$G6,$D6&gt;0),$H6*(1-param_GP_LayMortWeekly)^INT((BD$4-$F6)/7),0),0)+IFERROR(IF(AND(BD$4&gt;=$F7,BD$4&lt;=$G7,$D7&gt;0),$H7*(1-param_GP_LayMortWeekly)^INT((BD$4-$F7)/7),0),0)+IFERROR(IF(AND(BD$4&gt;=$F8,BD$4&lt;=$G8,$D8&gt;0),$H8*(1-param_GP_LayMortWeekly)^INT((BD$4-$F8)/7),0),0)+IFERROR(IF(AND(BD$4&gt;=$F9,BD$4&lt;=$G9,$D9&gt;0),$H9*(1-param_GP_LayMortWeekly)^INT((BD$4-$F9)/7),0),0)+IFERROR(IF(AND(BD$4&gt;=$F10,BD$4&lt;=$G10,$D10&gt;0),$H10*(1-param_GP_LayMortWeekly)^INT((BD$4-$F10)/7),0),0)+IFERROR(IF(AND(BD$4&gt;=$F11,BD$4&lt;=$G11,$D11&gt;0),$H11*(1-param_GP_LayMortWeekly)^INT((BD$4-$F11)/7),0),0),BD12)</f>
        <v/>
      </c>
      <c r="BE16" s="23">
        <f>IF(param_UseLineDetail="YES",IFERROR(IF(AND(BE$4&gt;=$F6,BE$4&lt;=$G6,$D6&gt;0),$H6*(1-param_GP_LayMortWeekly)^INT((BE$4-$F6)/7),0),0)+IFERROR(IF(AND(BE$4&gt;=$F7,BE$4&lt;=$G7,$D7&gt;0),$H7*(1-param_GP_LayMortWeekly)^INT((BE$4-$F7)/7),0),0)+IFERROR(IF(AND(BE$4&gt;=$F8,BE$4&lt;=$G8,$D8&gt;0),$H8*(1-param_GP_LayMortWeekly)^INT((BE$4-$F8)/7),0),0)+IFERROR(IF(AND(BE$4&gt;=$F9,BE$4&lt;=$G9,$D9&gt;0),$H9*(1-param_GP_LayMortWeekly)^INT((BE$4-$F9)/7),0),0)+IFERROR(IF(AND(BE$4&gt;=$F10,BE$4&lt;=$G10,$D10&gt;0),$H10*(1-param_GP_LayMortWeekly)^INT((BE$4-$F10)/7),0),0)+IFERROR(IF(AND(BE$4&gt;=$F11,BE$4&lt;=$G11,$D11&gt;0),$H11*(1-param_GP_LayMortWeekly)^INT((BE$4-$F11)/7),0),0),BE12)</f>
        <v/>
      </c>
      <c r="BF16" s="23">
        <f>IF(param_UseLineDetail="YES",IFERROR(IF(AND(BF$4&gt;=$F6,BF$4&lt;=$G6,$D6&gt;0),$H6*(1-param_GP_LayMortWeekly)^INT((BF$4-$F6)/7),0),0)+IFERROR(IF(AND(BF$4&gt;=$F7,BF$4&lt;=$G7,$D7&gt;0),$H7*(1-param_GP_LayMortWeekly)^INT((BF$4-$F7)/7),0),0)+IFERROR(IF(AND(BF$4&gt;=$F8,BF$4&lt;=$G8,$D8&gt;0),$H8*(1-param_GP_LayMortWeekly)^INT((BF$4-$F8)/7),0),0)+IFERROR(IF(AND(BF$4&gt;=$F9,BF$4&lt;=$G9,$D9&gt;0),$H9*(1-param_GP_LayMortWeekly)^INT((BF$4-$F9)/7),0),0)+IFERROR(IF(AND(BF$4&gt;=$F10,BF$4&lt;=$G10,$D10&gt;0),$H10*(1-param_GP_LayMortWeekly)^INT((BF$4-$F10)/7),0),0)+IFERROR(IF(AND(BF$4&gt;=$F11,BF$4&lt;=$G11,$D11&gt;0),$H11*(1-param_GP_LayMortWeekly)^INT((BF$4-$F11)/7),0),0),BF12)</f>
        <v/>
      </c>
      <c r="BG16" s="23">
        <f>IF(param_UseLineDetail="YES",IFERROR(IF(AND(BG$4&gt;=$F6,BG$4&lt;=$G6,$D6&gt;0),$H6*(1-param_GP_LayMortWeekly)^INT((BG$4-$F6)/7),0),0)+IFERROR(IF(AND(BG$4&gt;=$F7,BG$4&lt;=$G7,$D7&gt;0),$H7*(1-param_GP_LayMortWeekly)^INT((BG$4-$F7)/7),0),0)+IFERROR(IF(AND(BG$4&gt;=$F8,BG$4&lt;=$G8,$D8&gt;0),$H8*(1-param_GP_LayMortWeekly)^INT((BG$4-$F8)/7),0),0)+IFERROR(IF(AND(BG$4&gt;=$F9,BG$4&lt;=$G9,$D9&gt;0),$H9*(1-param_GP_LayMortWeekly)^INT((BG$4-$F9)/7),0),0)+IFERROR(IF(AND(BG$4&gt;=$F10,BG$4&lt;=$G10,$D10&gt;0),$H10*(1-param_GP_LayMortWeekly)^INT((BG$4-$F10)/7),0),0)+IFERROR(IF(AND(BG$4&gt;=$F11,BG$4&lt;=$G11,$D11&gt;0),$H11*(1-param_GP_LayMortWeekly)^INT((BG$4-$F11)/7),0),0),BG12)</f>
        <v/>
      </c>
      <c r="BH16" s="23">
        <f>IF(param_UseLineDetail="YES",IFERROR(IF(AND(BH$4&gt;=$F6,BH$4&lt;=$G6,$D6&gt;0),$H6*(1-param_GP_LayMortWeekly)^INT((BH$4-$F6)/7),0),0)+IFERROR(IF(AND(BH$4&gt;=$F7,BH$4&lt;=$G7,$D7&gt;0),$H7*(1-param_GP_LayMortWeekly)^INT((BH$4-$F7)/7),0),0)+IFERROR(IF(AND(BH$4&gt;=$F8,BH$4&lt;=$G8,$D8&gt;0),$H8*(1-param_GP_LayMortWeekly)^INT((BH$4-$F8)/7),0),0)+IFERROR(IF(AND(BH$4&gt;=$F9,BH$4&lt;=$G9,$D9&gt;0),$H9*(1-param_GP_LayMortWeekly)^INT((BH$4-$F9)/7),0),0)+IFERROR(IF(AND(BH$4&gt;=$F10,BH$4&lt;=$G10,$D10&gt;0),$H10*(1-param_GP_LayMortWeekly)^INT((BH$4-$F10)/7),0),0)+IFERROR(IF(AND(BH$4&gt;=$F11,BH$4&lt;=$G11,$D11&gt;0),$H11*(1-param_GP_LayMortWeekly)^INT((BH$4-$F11)/7),0),0),BH12)</f>
        <v/>
      </c>
    </row>
    <row r="17" ht="16" customHeight="1">
      <c r="A17" s="22" t="inlineStr">
        <is>
          <t>Total GP Settable Eggs  → feeds Tab 2</t>
        </is>
      </c>
      <c r="B17" s="6" t="n"/>
      <c r="C17" s="6" t="n"/>
      <c r="D17" s="6" t="n"/>
      <c r="E17" s="6" t="n"/>
      <c r="F17" s="6" t="n"/>
      <c r="G17" s="6" t="n"/>
      <c r="H17" s="7" t="n"/>
      <c r="I17" s="24">
        <f>IF(param_UseLineDetail="YES",IFERROR(I6+I7+I8+I9+I10+I11,0),I12)</f>
        <v/>
      </c>
      <c r="J17" s="24">
        <f>IF(param_UseLineDetail="YES",IFERROR(J6+J7+J8+J9+J10+J11,0),J12)</f>
        <v/>
      </c>
      <c r="K17" s="24">
        <f>IF(param_UseLineDetail="YES",IFERROR(K6+K7+K8+K9+K10+K11,0),K12)</f>
        <v/>
      </c>
      <c r="L17" s="24">
        <f>IF(param_UseLineDetail="YES",IFERROR(L6+L7+L8+L9+L10+L11,0),L12)</f>
        <v/>
      </c>
      <c r="M17" s="24">
        <f>IF(param_UseLineDetail="YES",IFERROR(M6+M7+M8+M9+M10+M11,0),M12)</f>
        <v/>
      </c>
      <c r="N17" s="24">
        <f>IF(param_UseLineDetail="YES",IFERROR(N6+N7+N8+N9+N10+N11,0),N12)</f>
        <v/>
      </c>
      <c r="O17" s="24">
        <f>IF(param_UseLineDetail="YES",IFERROR(O6+O7+O8+O9+O10+O11,0),O12)</f>
        <v/>
      </c>
      <c r="P17" s="24">
        <f>IF(param_UseLineDetail="YES",IFERROR(P6+P7+P8+P9+P10+P11,0),P12)</f>
        <v/>
      </c>
      <c r="Q17" s="24">
        <f>IF(param_UseLineDetail="YES",IFERROR(Q6+Q7+Q8+Q9+Q10+Q11,0),Q12)</f>
        <v/>
      </c>
      <c r="R17" s="24">
        <f>IF(param_UseLineDetail="YES",IFERROR(R6+R7+R8+R9+R10+R11,0),R12)</f>
        <v/>
      </c>
      <c r="S17" s="24">
        <f>IF(param_UseLineDetail="YES",IFERROR(S6+S7+S8+S9+S10+S11,0),S12)</f>
        <v/>
      </c>
      <c r="T17" s="24">
        <f>IF(param_UseLineDetail="YES",IFERROR(T6+T7+T8+T9+T10+T11,0),T12)</f>
        <v/>
      </c>
      <c r="U17" s="24">
        <f>IF(param_UseLineDetail="YES",IFERROR(U6+U7+U8+U9+U10+U11,0),U12)</f>
        <v/>
      </c>
      <c r="V17" s="24">
        <f>IF(param_UseLineDetail="YES",IFERROR(V6+V7+V8+V9+V10+V11,0),V12)</f>
        <v/>
      </c>
      <c r="W17" s="24">
        <f>IF(param_UseLineDetail="YES",IFERROR(W6+W7+W8+W9+W10+W11,0),W12)</f>
        <v/>
      </c>
      <c r="X17" s="24">
        <f>IF(param_UseLineDetail="YES",IFERROR(X6+X7+X8+X9+X10+X11,0),X12)</f>
        <v/>
      </c>
      <c r="Y17" s="24">
        <f>IF(param_UseLineDetail="YES",IFERROR(Y6+Y7+Y8+Y9+Y10+Y11,0),Y12)</f>
        <v/>
      </c>
      <c r="Z17" s="24">
        <f>IF(param_UseLineDetail="YES",IFERROR(Z6+Z7+Z8+Z9+Z10+Z11,0),Z12)</f>
        <v/>
      </c>
      <c r="AA17" s="24">
        <f>IF(param_UseLineDetail="YES",IFERROR(AA6+AA7+AA8+AA9+AA10+AA11,0),AA12)</f>
        <v/>
      </c>
      <c r="AB17" s="24">
        <f>IF(param_UseLineDetail="YES",IFERROR(AB6+AB7+AB8+AB9+AB10+AB11,0),AB12)</f>
        <v/>
      </c>
      <c r="AC17" s="24">
        <f>IF(param_UseLineDetail="YES",IFERROR(AC6+AC7+AC8+AC9+AC10+AC11,0),AC12)</f>
        <v/>
      </c>
      <c r="AD17" s="24">
        <f>IF(param_UseLineDetail="YES",IFERROR(AD6+AD7+AD8+AD9+AD10+AD11,0),AD12)</f>
        <v/>
      </c>
      <c r="AE17" s="24">
        <f>IF(param_UseLineDetail="YES",IFERROR(AE6+AE7+AE8+AE9+AE10+AE11,0),AE12)</f>
        <v/>
      </c>
      <c r="AF17" s="24">
        <f>IF(param_UseLineDetail="YES",IFERROR(AF6+AF7+AF8+AF9+AF10+AF11,0),AF12)</f>
        <v/>
      </c>
      <c r="AG17" s="24">
        <f>IF(param_UseLineDetail="YES",IFERROR(AG6+AG7+AG8+AG9+AG10+AG11,0),AG12)</f>
        <v/>
      </c>
      <c r="AH17" s="24">
        <f>IF(param_UseLineDetail="YES",IFERROR(AH6+AH7+AH8+AH9+AH10+AH11,0),AH12)</f>
        <v/>
      </c>
      <c r="AI17" s="24">
        <f>IF(param_UseLineDetail="YES",IFERROR(AI6+AI7+AI8+AI9+AI10+AI11,0),AI12)</f>
        <v/>
      </c>
      <c r="AJ17" s="24">
        <f>IF(param_UseLineDetail="YES",IFERROR(AJ6+AJ7+AJ8+AJ9+AJ10+AJ11,0),AJ12)</f>
        <v/>
      </c>
      <c r="AK17" s="24">
        <f>IF(param_UseLineDetail="YES",IFERROR(AK6+AK7+AK8+AK9+AK10+AK11,0),AK12)</f>
        <v/>
      </c>
      <c r="AL17" s="24">
        <f>IF(param_UseLineDetail="YES",IFERROR(AL6+AL7+AL8+AL9+AL10+AL11,0),AL12)</f>
        <v/>
      </c>
      <c r="AM17" s="24">
        <f>IF(param_UseLineDetail="YES",IFERROR(AM6+AM7+AM8+AM9+AM10+AM11,0),AM12)</f>
        <v/>
      </c>
      <c r="AN17" s="24">
        <f>IF(param_UseLineDetail="YES",IFERROR(AN6+AN7+AN8+AN9+AN10+AN11,0),AN12)</f>
        <v/>
      </c>
      <c r="AO17" s="24">
        <f>IF(param_UseLineDetail="YES",IFERROR(AO6+AO7+AO8+AO9+AO10+AO11,0),AO12)</f>
        <v/>
      </c>
      <c r="AP17" s="24">
        <f>IF(param_UseLineDetail="YES",IFERROR(AP6+AP7+AP8+AP9+AP10+AP11,0),AP12)</f>
        <v/>
      </c>
      <c r="AQ17" s="24">
        <f>IF(param_UseLineDetail="YES",IFERROR(AQ6+AQ7+AQ8+AQ9+AQ10+AQ11,0),AQ12)</f>
        <v/>
      </c>
      <c r="AR17" s="24">
        <f>IF(param_UseLineDetail="YES",IFERROR(AR6+AR7+AR8+AR9+AR10+AR11,0),AR12)</f>
        <v/>
      </c>
      <c r="AS17" s="24">
        <f>IF(param_UseLineDetail="YES",IFERROR(AS6+AS7+AS8+AS9+AS10+AS11,0),AS12)</f>
        <v/>
      </c>
      <c r="AT17" s="24">
        <f>IF(param_UseLineDetail="YES",IFERROR(AT6+AT7+AT8+AT9+AT10+AT11,0),AT12)</f>
        <v/>
      </c>
      <c r="AU17" s="24">
        <f>IF(param_UseLineDetail="YES",IFERROR(AU6+AU7+AU8+AU9+AU10+AU11,0),AU12)</f>
        <v/>
      </c>
      <c r="AV17" s="24">
        <f>IF(param_UseLineDetail="YES",IFERROR(AV6+AV7+AV8+AV9+AV10+AV11,0),AV12)</f>
        <v/>
      </c>
      <c r="AW17" s="24">
        <f>IF(param_UseLineDetail="YES",IFERROR(AW6+AW7+AW8+AW9+AW10+AW11,0),AW12)</f>
        <v/>
      </c>
      <c r="AX17" s="24">
        <f>IF(param_UseLineDetail="YES",IFERROR(AX6+AX7+AX8+AX9+AX10+AX11,0),AX12)</f>
        <v/>
      </c>
      <c r="AY17" s="24">
        <f>IF(param_UseLineDetail="YES",IFERROR(AY6+AY7+AY8+AY9+AY10+AY11,0),AY12)</f>
        <v/>
      </c>
      <c r="AZ17" s="24">
        <f>IF(param_UseLineDetail="YES",IFERROR(AZ6+AZ7+AZ8+AZ9+AZ10+AZ11,0),AZ12)</f>
        <v/>
      </c>
      <c r="BA17" s="24">
        <f>IF(param_UseLineDetail="YES",IFERROR(BA6+BA7+BA8+BA9+BA10+BA11,0),BA12)</f>
        <v/>
      </c>
      <c r="BB17" s="24">
        <f>IF(param_UseLineDetail="YES",IFERROR(BB6+BB7+BB8+BB9+BB10+BB11,0),BB12)</f>
        <v/>
      </c>
      <c r="BC17" s="24">
        <f>IF(param_UseLineDetail="YES",IFERROR(BC6+BC7+BC8+BC9+BC10+BC11,0),BC12)</f>
        <v/>
      </c>
      <c r="BD17" s="24">
        <f>IF(param_UseLineDetail="YES",IFERROR(BD6+BD7+BD8+BD9+BD10+BD11,0),BD12)</f>
        <v/>
      </c>
      <c r="BE17" s="24">
        <f>IF(param_UseLineDetail="YES",IFERROR(BE6+BE7+BE8+BE9+BE10+BE11,0),BE12)</f>
        <v/>
      </c>
      <c r="BF17" s="24">
        <f>IF(param_UseLineDetail="YES",IFERROR(BF6+BF7+BF8+BF9+BF10+BF11,0),BF12)</f>
        <v/>
      </c>
      <c r="BG17" s="24">
        <f>IF(param_UseLineDetail="YES",IFERROR(BG6+BG7+BG8+BG9+BG10+BG11,0),BG12)</f>
        <v/>
      </c>
      <c r="BH17" s="24">
        <f>IF(param_UseLineDetail="YES",IFERROR(BH6+BH7+BH8+BH9+BH10+BH11,0),BH12)</f>
        <v/>
      </c>
    </row>
    <row r="18" ht="16" customHeight="1">
      <c r="A18" s="25" t="inlineStr">
        <is>
          <t>Required GP Settable Eggs  (enter target or link from Tab 6)</t>
        </is>
      </c>
      <c r="B18" s="6" t="n"/>
      <c r="C18" s="6" t="n"/>
      <c r="D18" s="6" t="n"/>
      <c r="E18" s="6" t="n"/>
      <c r="F18" s="6" t="n"/>
      <c r="G18" s="6" t="n"/>
      <c r="H18" s="7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  <c r="AN18" s="26" t="n"/>
      <c r="AO18" s="26" t="n"/>
      <c r="AP18" s="26" t="n"/>
      <c r="AQ18" s="26" t="n"/>
      <c r="AR18" s="26" t="n"/>
      <c r="AS18" s="26" t="n"/>
      <c r="AT18" s="26" t="n"/>
      <c r="AU18" s="26" t="n"/>
      <c r="AV18" s="26" t="n"/>
      <c r="AW18" s="26" t="n"/>
      <c r="AX18" s="26" t="n"/>
      <c r="AY18" s="26" t="n"/>
      <c r="AZ18" s="26" t="n"/>
      <c r="BA18" s="26" t="n"/>
      <c r="BB18" s="26" t="n"/>
      <c r="BC18" s="26" t="n"/>
      <c r="BD18" s="26" t="n"/>
      <c r="BE18" s="26" t="n"/>
      <c r="BF18" s="26" t="n"/>
      <c r="BG18" s="26" t="n"/>
      <c r="BH18" s="26" t="n"/>
    </row>
    <row r="19" ht="16" customHeight="1">
      <c r="A19" s="27" t="inlineStr">
        <is>
          <t>Surplus / (Deficit)  GP Settable Eggs</t>
        </is>
      </c>
      <c r="B19" s="6" t="n"/>
      <c r="C19" s="6" t="n"/>
      <c r="D19" s="6" t="n"/>
      <c r="E19" s="6" t="n"/>
      <c r="F19" s="6" t="n"/>
      <c r="G19" s="6" t="n"/>
      <c r="H19" s="7" t="n"/>
      <c r="I19" s="28">
        <f>IF(I18&gt;0,I17-I18,"")</f>
        <v/>
      </c>
      <c r="J19" s="28">
        <f>IF(J18&gt;0,J17-J18,"")</f>
        <v/>
      </c>
      <c r="K19" s="28">
        <f>IF(K18&gt;0,K17-K18,"")</f>
        <v/>
      </c>
      <c r="L19" s="28">
        <f>IF(L18&gt;0,L17-L18,"")</f>
        <v/>
      </c>
      <c r="M19" s="28">
        <f>IF(M18&gt;0,M17-M18,"")</f>
        <v/>
      </c>
      <c r="N19" s="28">
        <f>IF(N18&gt;0,N17-N18,"")</f>
        <v/>
      </c>
      <c r="O19" s="28">
        <f>IF(O18&gt;0,O17-O18,"")</f>
        <v/>
      </c>
      <c r="P19" s="28">
        <f>IF(P18&gt;0,P17-P18,"")</f>
        <v/>
      </c>
      <c r="Q19" s="28">
        <f>IF(Q18&gt;0,Q17-Q18,"")</f>
        <v/>
      </c>
      <c r="R19" s="28">
        <f>IF(R18&gt;0,R17-R18,"")</f>
        <v/>
      </c>
      <c r="S19" s="28">
        <f>IF(S18&gt;0,S17-S18,"")</f>
        <v/>
      </c>
      <c r="T19" s="28">
        <f>IF(T18&gt;0,T17-T18,"")</f>
        <v/>
      </c>
      <c r="U19" s="28">
        <f>IF(U18&gt;0,U17-U18,"")</f>
        <v/>
      </c>
      <c r="V19" s="28">
        <f>IF(V18&gt;0,V17-V18,"")</f>
        <v/>
      </c>
      <c r="W19" s="28">
        <f>IF(W18&gt;0,W17-W18,"")</f>
        <v/>
      </c>
      <c r="X19" s="28">
        <f>IF(X18&gt;0,X17-X18,"")</f>
        <v/>
      </c>
      <c r="Y19" s="28">
        <f>IF(Y18&gt;0,Y17-Y18,"")</f>
        <v/>
      </c>
      <c r="Z19" s="28">
        <f>IF(Z18&gt;0,Z17-Z18,"")</f>
        <v/>
      </c>
      <c r="AA19" s="28">
        <f>IF(AA18&gt;0,AA17-AA18,"")</f>
        <v/>
      </c>
      <c r="AB19" s="28">
        <f>IF(AB18&gt;0,AB17-AB18,"")</f>
        <v/>
      </c>
      <c r="AC19" s="28">
        <f>IF(AC18&gt;0,AC17-AC18,"")</f>
        <v/>
      </c>
      <c r="AD19" s="28">
        <f>IF(AD18&gt;0,AD17-AD18,"")</f>
        <v/>
      </c>
      <c r="AE19" s="28">
        <f>IF(AE18&gt;0,AE17-AE18,"")</f>
        <v/>
      </c>
      <c r="AF19" s="28">
        <f>IF(AF18&gt;0,AF17-AF18,"")</f>
        <v/>
      </c>
      <c r="AG19" s="28">
        <f>IF(AG18&gt;0,AG17-AG18,"")</f>
        <v/>
      </c>
      <c r="AH19" s="28">
        <f>IF(AH18&gt;0,AH17-AH18,"")</f>
        <v/>
      </c>
      <c r="AI19" s="28">
        <f>IF(AI18&gt;0,AI17-AI18,"")</f>
        <v/>
      </c>
      <c r="AJ19" s="28">
        <f>IF(AJ18&gt;0,AJ17-AJ18,"")</f>
        <v/>
      </c>
      <c r="AK19" s="28">
        <f>IF(AK18&gt;0,AK17-AK18,"")</f>
        <v/>
      </c>
      <c r="AL19" s="28">
        <f>IF(AL18&gt;0,AL17-AL18,"")</f>
        <v/>
      </c>
      <c r="AM19" s="28">
        <f>IF(AM18&gt;0,AM17-AM18,"")</f>
        <v/>
      </c>
      <c r="AN19" s="28">
        <f>IF(AN18&gt;0,AN17-AN18,"")</f>
        <v/>
      </c>
      <c r="AO19" s="28">
        <f>IF(AO18&gt;0,AO17-AO18,"")</f>
        <v/>
      </c>
      <c r="AP19" s="28">
        <f>IF(AP18&gt;0,AP17-AP18,"")</f>
        <v/>
      </c>
      <c r="AQ19" s="28">
        <f>IF(AQ18&gt;0,AQ17-AQ18,"")</f>
        <v/>
      </c>
      <c r="AR19" s="28">
        <f>IF(AR18&gt;0,AR17-AR18,"")</f>
        <v/>
      </c>
      <c r="AS19" s="28">
        <f>IF(AS18&gt;0,AS17-AS18,"")</f>
        <v/>
      </c>
      <c r="AT19" s="28">
        <f>IF(AT18&gt;0,AT17-AT18,"")</f>
        <v/>
      </c>
      <c r="AU19" s="28">
        <f>IF(AU18&gt;0,AU17-AU18,"")</f>
        <v/>
      </c>
      <c r="AV19" s="28">
        <f>IF(AV18&gt;0,AV17-AV18,"")</f>
        <v/>
      </c>
      <c r="AW19" s="28">
        <f>IF(AW18&gt;0,AW17-AW18,"")</f>
        <v/>
      </c>
      <c r="AX19" s="28">
        <f>IF(AX18&gt;0,AX17-AX18,"")</f>
        <v/>
      </c>
      <c r="AY19" s="28">
        <f>IF(AY18&gt;0,AY17-AY18,"")</f>
        <v/>
      </c>
      <c r="AZ19" s="28">
        <f>IF(AZ18&gt;0,AZ17-AZ18,"")</f>
        <v/>
      </c>
      <c r="BA19" s="28">
        <f>IF(BA18&gt;0,BA17-BA18,"")</f>
        <v/>
      </c>
      <c r="BB19" s="28">
        <f>IF(BB18&gt;0,BB17-BB18,"")</f>
        <v/>
      </c>
      <c r="BC19" s="28">
        <f>IF(BC18&gt;0,BC17-BC18,"")</f>
        <v/>
      </c>
      <c r="BD19" s="28">
        <f>IF(BD18&gt;0,BD17-BD18,"")</f>
        <v/>
      </c>
      <c r="BE19" s="28">
        <f>IF(BE18&gt;0,BE17-BE18,"")</f>
        <v/>
      </c>
      <c r="BF19" s="28">
        <f>IF(BF18&gt;0,BF17-BF18,"")</f>
        <v/>
      </c>
      <c r="BG19" s="28">
        <f>IF(BG18&gt;0,BG17-BG18,"")</f>
        <v/>
      </c>
      <c r="BH19" s="28">
        <f>IF(BH18&gt;0,BH17-BH18,"")</f>
        <v/>
      </c>
    </row>
  </sheetData>
  <mergeCells count="11">
    <mergeCell ref="A18:H18"/>
    <mergeCell ref="A15:H15"/>
    <mergeCell ref="A2:H2"/>
    <mergeCell ref="A13:BH13"/>
    <mergeCell ref="A14:BH14"/>
    <mergeCell ref="A16:H16"/>
    <mergeCell ref="A1:BH1"/>
    <mergeCell ref="I4:BH4"/>
    <mergeCell ref="A19:H19"/>
    <mergeCell ref="A3:BH3"/>
    <mergeCell ref="A17:H17"/>
  </mergeCells>
  <conditionalFormatting sqref="A6:BH11">
    <cfRule type="expression" priority="1" dxfId="0">
      <formula>param_UseLineDetail="NO"</formula>
    </cfRule>
  </conditionalFormatting>
  <conditionalFormatting sqref="A12:BH12">
    <cfRule type="expression" priority="2" dxfId="0">
      <formula>param_UseLineDetail="YES"</formula>
    </cfRule>
  </conditionalFormatting>
  <conditionalFormatting sqref="I19:BH19">
    <cfRule type="cellIs" priority="3" operator="lessThan" dxfId="1">
      <formula>0</formula>
    </cfRule>
    <cfRule type="cellIs" priority="4" operator="greaterThan" dxfId="2">
      <formula>0</formula>
    </cfRule>
  </conditionalFormatting>
  <dataValidations count="2">
    <dataValidation sqref="B10" showDropDown="0" showInputMessage="0" showErrorMessage="0" allowBlank="1" type="list">
      <formula1>"F-D,M-C,F-B,M-A"</formula1>
    </dataValidation>
    <dataValidation sqref="B11" showDropDown="0" showInputMessage="0" showErrorMessage="0" allowBlank="1" type="list">
      <formula1>"F-D,M-C,F-B,M-A"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xSplit="8" ySplit="5" topLeftCell="I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</cols>
  <sheetData>
    <row r="1" ht="26" customHeight="1">
      <c r="A1" s="1" t="inlineStr">
        <is>
          <t>TAB 2 — COBB GP HATCHERY  |  Breed: Cobb-500  |  Plant: GP Hatchery  |  Input: GP Eggs (set here)  →  Output: PS DOC + Byproduct Broiler DOC</t>
        </is>
      </c>
    </row>
    <row r="2" ht="13" customHeight="1">
      <c r="A2" s="29" t="inlineStr">
        <is>
          <t>⚠  EGGS are SET here (not live birds).  Incubation = 21 days (3 weeks).  Output → PS DOC (Cobb) + Surplus Male Byproduct DOC (mat. 100800160054)</t>
        </is>
      </c>
    </row>
    <row r="3" ht="13" customHeight="1">
      <c r="A3" s="3" t="inlineStr">
        <is>
          <t>[AR: TBD — مفرخة GP للكوب / GP Hatchery]</t>
        </is>
      </c>
    </row>
    <row r="4">
      <c r="A4" s="4" t="inlineStr">
        <is>
          <t>Metric</t>
        </is>
      </c>
      <c r="B4" s="4" t="inlineStr">
        <is>
          <t>Description / Source</t>
        </is>
      </c>
      <c r="I4" s="30" t="inlineStr">
        <is>
          <t>◀  WEEKLY GP HATCHERY SCHEDULE  ▶</t>
        </is>
      </c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7" t="n"/>
    </row>
    <row r="5">
      <c r="I5" s="8" t="inlineStr">
        <is>
          <t>Wk 1</t>
        </is>
      </c>
      <c r="J5" s="8" t="inlineStr">
        <is>
          <t>Wk 2</t>
        </is>
      </c>
      <c r="K5" s="8" t="inlineStr">
        <is>
          <t>Wk 3</t>
        </is>
      </c>
      <c r="L5" s="8" t="inlineStr">
        <is>
          <t>Wk 4</t>
        </is>
      </c>
      <c r="M5" s="8" t="inlineStr">
        <is>
          <t>Wk 5</t>
        </is>
      </c>
      <c r="N5" s="8" t="inlineStr">
        <is>
          <t>Wk 6</t>
        </is>
      </c>
      <c r="O5" s="8" t="inlineStr">
        <is>
          <t>Wk 7</t>
        </is>
      </c>
      <c r="P5" s="8" t="inlineStr">
        <is>
          <t>Wk 8</t>
        </is>
      </c>
      <c r="Q5" s="8" t="inlineStr">
        <is>
          <t>Wk 9</t>
        </is>
      </c>
      <c r="R5" s="8" t="inlineStr">
        <is>
          <t>Wk 10</t>
        </is>
      </c>
      <c r="S5" s="8" t="inlineStr">
        <is>
          <t>Wk 11</t>
        </is>
      </c>
      <c r="T5" s="8" t="inlineStr">
        <is>
          <t>Wk 12</t>
        </is>
      </c>
      <c r="U5" s="8" t="inlineStr">
        <is>
          <t>Wk 13</t>
        </is>
      </c>
      <c r="V5" s="8" t="inlineStr">
        <is>
          <t>Wk 14</t>
        </is>
      </c>
      <c r="W5" s="8" t="inlineStr">
        <is>
          <t>Wk 15</t>
        </is>
      </c>
      <c r="X5" s="8" t="inlineStr">
        <is>
          <t>Wk 16</t>
        </is>
      </c>
      <c r="Y5" s="8" t="inlineStr">
        <is>
          <t>Wk 17</t>
        </is>
      </c>
      <c r="Z5" s="8" t="inlineStr">
        <is>
          <t>Wk 18</t>
        </is>
      </c>
      <c r="AA5" s="8" t="inlineStr">
        <is>
          <t>Wk 19</t>
        </is>
      </c>
      <c r="AB5" s="8" t="inlineStr">
        <is>
          <t>Wk 20</t>
        </is>
      </c>
      <c r="AC5" s="8" t="inlineStr">
        <is>
          <t>Wk 21</t>
        </is>
      </c>
      <c r="AD5" s="8" t="inlineStr">
        <is>
          <t>Wk 22</t>
        </is>
      </c>
      <c r="AE5" s="8" t="inlineStr">
        <is>
          <t>Wk 23</t>
        </is>
      </c>
      <c r="AF5" s="8" t="inlineStr">
        <is>
          <t>Wk 24</t>
        </is>
      </c>
      <c r="AG5" s="8" t="inlineStr">
        <is>
          <t>Wk 25</t>
        </is>
      </c>
      <c r="AH5" s="8" t="inlineStr">
        <is>
          <t>Wk 26</t>
        </is>
      </c>
      <c r="AI5" s="8" t="inlineStr">
        <is>
          <t>Wk 27</t>
        </is>
      </c>
      <c r="AJ5" s="8" t="inlineStr">
        <is>
          <t>Wk 28</t>
        </is>
      </c>
      <c r="AK5" s="8" t="inlineStr">
        <is>
          <t>Wk 29</t>
        </is>
      </c>
      <c r="AL5" s="8" t="inlineStr">
        <is>
          <t>Wk 30</t>
        </is>
      </c>
      <c r="AM5" s="8" t="inlineStr">
        <is>
          <t>Wk 31</t>
        </is>
      </c>
      <c r="AN5" s="8" t="inlineStr">
        <is>
          <t>Wk 32</t>
        </is>
      </c>
      <c r="AO5" s="8" t="inlineStr">
        <is>
          <t>Wk 33</t>
        </is>
      </c>
      <c r="AP5" s="8" t="inlineStr">
        <is>
          <t>Wk 34</t>
        </is>
      </c>
      <c r="AQ5" s="8" t="inlineStr">
        <is>
          <t>Wk 35</t>
        </is>
      </c>
      <c r="AR5" s="8" t="inlineStr">
        <is>
          <t>Wk 36</t>
        </is>
      </c>
      <c r="AS5" s="8" t="inlineStr">
        <is>
          <t>Wk 37</t>
        </is>
      </c>
      <c r="AT5" s="8" t="inlineStr">
        <is>
          <t>Wk 38</t>
        </is>
      </c>
      <c r="AU5" s="8" t="inlineStr">
        <is>
          <t>Wk 39</t>
        </is>
      </c>
      <c r="AV5" s="8" t="inlineStr">
        <is>
          <t>Wk 40</t>
        </is>
      </c>
      <c r="AW5" s="8" t="inlineStr">
        <is>
          <t>Wk 41</t>
        </is>
      </c>
      <c r="AX5" s="8" t="inlineStr">
        <is>
          <t>Wk 42</t>
        </is>
      </c>
      <c r="AY5" s="8" t="inlineStr">
        <is>
          <t>Wk 43</t>
        </is>
      </c>
      <c r="AZ5" s="8" t="inlineStr">
        <is>
          <t>Wk 44</t>
        </is>
      </c>
      <c r="BA5" s="8" t="inlineStr">
        <is>
          <t>Wk 45</t>
        </is>
      </c>
      <c r="BB5" s="8" t="inlineStr">
        <is>
          <t>Wk 46</t>
        </is>
      </c>
      <c r="BC5" s="8" t="inlineStr">
        <is>
          <t>Wk 47</t>
        </is>
      </c>
      <c r="BD5" s="8" t="inlineStr">
        <is>
          <t>Wk 48</t>
        </is>
      </c>
      <c r="BE5" s="8" t="inlineStr">
        <is>
          <t>Wk 49</t>
        </is>
      </c>
      <c r="BF5" s="8" t="inlineStr">
        <is>
          <t>Wk 50</t>
        </is>
      </c>
      <c r="BG5" s="8" t="inlineStr">
        <is>
          <t>Wk 51</t>
        </is>
      </c>
      <c r="BH5" s="8" t="inlineStr">
        <is>
          <t>Wk 52</t>
        </is>
      </c>
    </row>
    <row r="6" ht="16" customHeight="1">
      <c r="A6" s="31" t="inlineStr">
        <is>
          <t>GP Eggs Available</t>
        </is>
      </c>
      <c r="B6" s="32" t="inlineStr">
        <is>
          <t>From Tab 1 — Total GP Settable Eggs</t>
        </is>
      </c>
      <c r="I6" s="14">
        <f>IFERROR(INDEX(GP_SettableEggs,1),0)</f>
        <v/>
      </c>
      <c r="J6" s="14">
        <f>IFERROR(INDEX(GP_SettableEggs,2),0)</f>
        <v/>
      </c>
      <c r="K6" s="14">
        <f>IFERROR(INDEX(GP_SettableEggs,3),0)</f>
        <v/>
      </c>
      <c r="L6" s="14">
        <f>IFERROR(INDEX(GP_SettableEggs,4),0)</f>
        <v/>
      </c>
      <c r="M6" s="14">
        <f>IFERROR(INDEX(GP_SettableEggs,5),0)</f>
        <v/>
      </c>
      <c r="N6" s="14">
        <f>IFERROR(INDEX(GP_SettableEggs,6),0)</f>
        <v/>
      </c>
      <c r="O6" s="14">
        <f>IFERROR(INDEX(GP_SettableEggs,7),0)</f>
        <v/>
      </c>
      <c r="P6" s="14">
        <f>IFERROR(INDEX(GP_SettableEggs,8),0)</f>
        <v/>
      </c>
      <c r="Q6" s="14">
        <f>IFERROR(INDEX(GP_SettableEggs,9),0)</f>
        <v/>
      </c>
      <c r="R6" s="14">
        <f>IFERROR(INDEX(GP_SettableEggs,10),0)</f>
        <v/>
      </c>
      <c r="S6" s="14">
        <f>IFERROR(INDEX(GP_SettableEggs,11),0)</f>
        <v/>
      </c>
      <c r="T6" s="14">
        <f>IFERROR(INDEX(GP_SettableEggs,12),0)</f>
        <v/>
      </c>
      <c r="U6" s="14">
        <f>IFERROR(INDEX(GP_SettableEggs,13),0)</f>
        <v/>
      </c>
      <c r="V6" s="14">
        <f>IFERROR(INDEX(GP_SettableEggs,14),0)</f>
        <v/>
      </c>
      <c r="W6" s="14">
        <f>IFERROR(INDEX(GP_SettableEggs,15),0)</f>
        <v/>
      </c>
      <c r="X6" s="14">
        <f>IFERROR(INDEX(GP_SettableEggs,16),0)</f>
        <v/>
      </c>
      <c r="Y6" s="14">
        <f>IFERROR(INDEX(GP_SettableEggs,17),0)</f>
        <v/>
      </c>
      <c r="Z6" s="14">
        <f>IFERROR(INDEX(GP_SettableEggs,18),0)</f>
        <v/>
      </c>
      <c r="AA6" s="14">
        <f>IFERROR(INDEX(GP_SettableEggs,19),0)</f>
        <v/>
      </c>
      <c r="AB6" s="14">
        <f>IFERROR(INDEX(GP_SettableEggs,20),0)</f>
        <v/>
      </c>
      <c r="AC6" s="14">
        <f>IFERROR(INDEX(GP_SettableEggs,21),0)</f>
        <v/>
      </c>
      <c r="AD6" s="14">
        <f>IFERROR(INDEX(GP_SettableEggs,22),0)</f>
        <v/>
      </c>
      <c r="AE6" s="14">
        <f>IFERROR(INDEX(GP_SettableEggs,23),0)</f>
        <v/>
      </c>
      <c r="AF6" s="14">
        <f>IFERROR(INDEX(GP_SettableEggs,24),0)</f>
        <v/>
      </c>
      <c r="AG6" s="14">
        <f>IFERROR(INDEX(GP_SettableEggs,25),0)</f>
        <v/>
      </c>
      <c r="AH6" s="14">
        <f>IFERROR(INDEX(GP_SettableEggs,26),0)</f>
        <v/>
      </c>
      <c r="AI6" s="14">
        <f>IFERROR(INDEX(GP_SettableEggs,27),0)</f>
        <v/>
      </c>
      <c r="AJ6" s="14">
        <f>IFERROR(INDEX(GP_SettableEggs,28),0)</f>
        <v/>
      </c>
      <c r="AK6" s="14">
        <f>IFERROR(INDEX(GP_SettableEggs,29),0)</f>
        <v/>
      </c>
      <c r="AL6" s="14">
        <f>IFERROR(INDEX(GP_SettableEggs,30),0)</f>
        <v/>
      </c>
      <c r="AM6" s="14">
        <f>IFERROR(INDEX(GP_SettableEggs,31),0)</f>
        <v/>
      </c>
      <c r="AN6" s="14">
        <f>IFERROR(INDEX(GP_SettableEggs,32),0)</f>
        <v/>
      </c>
      <c r="AO6" s="14">
        <f>IFERROR(INDEX(GP_SettableEggs,33),0)</f>
        <v/>
      </c>
      <c r="AP6" s="14">
        <f>IFERROR(INDEX(GP_SettableEggs,34),0)</f>
        <v/>
      </c>
      <c r="AQ6" s="14">
        <f>IFERROR(INDEX(GP_SettableEggs,35),0)</f>
        <v/>
      </c>
      <c r="AR6" s="14">
        <f>IFERROR(INDEX(GP_SettableEggs,36),0)</f>
        <v/>
      </c>
      <c r="AS6" s="14">
        <f>IFERROR(INDEX(GP_SettableEggs,37),0)</f>
        <v/>
      </c>
      <c r="AT6" s="14">
        <f>IFERROR(INDEX(GP_SettableEggs,38),0)</f>
        <v/>
      </c>
      <c r="AU6" s="14">
        <f>IFERROR(INDEX(GP_SettableEggs,39),0)</f>
        <v/>
      </c>
      <c r="AV6" s="14">
        <f>IFERROR(INDEX(GP_SettableEggs,40),0)</f>
        <v/>
      </c>
      <c r="AW6" s="14">
        <f>IFERROR(INDEX(GP_SettableEggs,41),0)</f>
        <v/>
      </c>
      <c r="AX6" s="14">
        <f>IFERROR(INDEX(GP_SettableEggs,42),0)</f>
        <v/>
      </c>
      <c r="AY6" s="14">
        <f>IFERROR(INDEX(GP_SettableEggs,43),0)</f>
        <v/>
      </c>
      <c r="AZ6" s="14">
        <f>IFERROR(INDEX(GP_SettableEggs,44),0)</f>
        <v/>
      </c>
      <c r="BA6" s="14">
        <f>IFERROR(INDEX(GP_SettableEggs,45),0)</f>
        <v/>
      </c>
      <c r="BB6" s="14">
        <f>IFERROR(INDEX(GP_SettableEggs,46),0)</f>
        <v/>
      </c>
      <c r="BC6" s="14">
        <f>IFERROR(INDEX(GP_SettableEggs,47),0)</f>
        <v/>
      </c>
      <c r="BD6" s="14">
        <f>IFERROR(INDEX(GP_SettableEggs,48),0)</f>
        <v/>
      </c>
      <c r="BE6" s="14">
        <f>IFERROR(INDEX(GP_SettableEggs,49),0)</f>
        <v/>
      </c>
      <c r="BF6" s="14">
        <f>IFERROR(INDEX(GP_SettableEggs,50),0)</f>
        <v/>
      </c>
      <c r="BG6" s="14">
        <f>IFERROR(INDEX(GP_SettableEggs,51),0)</f>
        <v/>
      </c>
      <c r="BH6" s="14">
        <f>IFERROR(INDEX(GP_SettableEggs,52),0)</f>
        <v/>
      </c>
    </row>
    <row r="7" ht="16" customHeight="1">
      <c r="A7" s="33" t="inlineStr">
        <is>
          <t>GP Eggs Actually Set</t>
        </is>
      </c>
      <c r="B7" s="34">
        <f> Available (reduce if hatchery full) — EDITABLE</f>
        <v/>
      </c>
      <c r="I7" s="26">
        <f>IFERROR(INDEX(GP_SettableEggs,1),0)</f>
        <v/>
      </c>
      <c r="J7" s="26">
        <f>IFERROR(INDEX(GP_SettableEggs,2),0)</f>
        <v/>
      </c>
      <c r="K7" s="26">
        <f>IFERROR(INDEX(GP_SettableEggs,3),0)</f>
        <v/>
      </c>
      <c r="L7" s="26">
        <f>IFERROR(INDEX(GP_SettableEggs,4),0)</f>
        <v/>
      </c>
      <c r="M7" s="26">
        <f>IFERROR(INDEX(GP_SettableEggs,5),0)</f>
        <v/>
      </c>
      <c r="N7" s="26">
        <f>IFERROR(INDEX(GP_SettableEggs,6),0)</f>
        <v/>
      </c>
      <c r="O7" s="26">
        <f>IFERROR(INDEX(GP_SettableEggs,7),0)</f>
        <v/>
      </c>
      <c r="P7" s="26">
        <f>IFERROR(INDEX(GP_SettableEggs,8),0)</f>
        <v/>
      </c>
      <c r="Q7" s="26">
        <f>IFERROR(INDEX(GP_SettableEggs,9),0)</f>
        <v/>
      </c>
      <c r="R7" s="26">
        <f>IFERROR(INDEX(GP_SettableEggs,10),0)</f>
        <v/>
      </c>
      <c r="S7" s="26">
        <f>IFERROR(INDEX(GP_SettableEggs,11),0)</f>
        <v/>
      </c>
      <c r="T7" s="26">
        <f>IFERROR(INDEX(GP_SettableEggs,12),0)</f>
        <v/>
      </c>
      <c r="U7" s="26">
        <f>IFERROR(INDEX(GP_SettableEggs,13),0)</f>
        <v/>
      </c>
      <c r="V7" s="26">
        <f>IFERROR(INDEX(GP_SettableEggs,14),0)</f>
        <v/>
      </c>
      <c r="W7" s="26">
        <f>IFERROR(INDEX(GP_SettableEggs,15),0)</f>
        <v/>
      </c>
      <c r="X7" s="26">
        <f>IFERROR(INDEX(GP_SettableEggs,16),0)</f>
        <v/>
      </c>
      <c r="Y7" s="26">
        <f>IFERROR(INDEX(GP_SettableEggs,17),0)</f>
        <v/>
      </c>
      <c r="Z7" s="26">
        <f>IFERROR(INDEX(GP_SettableEggs,18),0)</f>
        <v/>
      </c>
      <c r="AA7" s="26">
        <f>IFERROR(INDEX(GP_SettableEggs,19),0)</f>
        <v/>
      </c>
      <c r="AB7" s="26">
        <f>IFERROR(INDEX(GP_SettableEggs,20),0)</f>
        <v/>
      </c>
      <c r="AC7" s="26">
        <f>IFERROR(INDEX(GP_SettableEggs,21),0)</f>
        <v/>
      </c>
      <c r="AD7" s="26">
        <f>IFERROR(INDEX(GP_SettableEggs,22),0)</f>
        <v/>
      </c>
      <c r="AE7" s="26">
        <f>IFERROR(INDEX(GP_SettableEggs,23),0)</f>
        <v/>
      </c>
      <c r="AF7" s="26">
        <f>IFERROR(INDEX(GP_SettableEggs,24),0)</f>
        <v/>
      </c>
      <c r="AG7" s="26">
        <f>IFERROR(INDEX(GP_SettableEggs,25),0)</f>
        <v/>
      </c>
      <c r="AH7" s="26">
        <f>IFERROR(INDEX(GP_SettableEggs,26),0)</f>
        <v/>
      </c>
      <c r="AI7" s="26">
        <f>IFERROR(INDEX(GP_SettableEggs,27),0)</f>
        <v/>
      </c>
      <c r="AJ7" s="26">
        <f>IFERROR(INDEX(GP_SettableEggs,28),0)</f>
        <v/>
      </c>
      <c r="AK7" s="26">
        <f>IFERROR(INDEX(GP_SettableEggs,29),0)</f>
        <v/>
      </c>
      <c r="AL7" s="26">
        <f>IFERROR(INDEX(GP_SettableEggs,30),0)</f>
        <v/>
      </c>
      <c r="AM7" s="26">
        <f>IFERROR(INDEX(GP_SettableEggs,31),0)</f>
        <v/>
      </c>
      <c r="AN7" s="26">
        <f>IFERROR(INDEX(GP_SettableEggs,32),0)</f>
        <v/>
      </c>
      <c r="AO7" s="26">
        <f>IFERROR(INDEX(GP_SettableEggs,33),0)</f>
        <v/>
      </c>
      <c r="AP7" s="26">
        <f>IFERROR(INDEX(GP_SettableEggs,34),0)</f>
        <v/>
      </c>
      <c r="AQ7" s="26">
        <f>IFERROR(INDEX(GP_SettableEggs,35),0)</f>
        <v/>
      </c>
      <c r="AR7" s="26">
        <f>IFERROR(INDEX(GP_SettableEggs,36),0)</f>
        <v/>
      </c>
      <c r="AS7" s="26">
        <f>IFERROR(INDEX(GP_SettableEggs,37),0)</f>
        <v/>
      </c>
      <c r="AT7" s="26">
        <f>IFERROR(INDEX(GP_SettableEggs,38),0)</f>
        <v/>
      </c>
      <c r="AU7" s="26">
        <f>IFERROR(INDEX(GP_SettableEggs,39),0)</f>
        <v/>
      </c>
      <c r="AV7" s="26">
        <f>IFERROR(INDEX(GP_SettableEggs,40),0)</f>
        <v/>
      </c>
      <c r="AW7" s="26">
        <f>IFERROR(INDEX(GP_SettableEggs,41),0)</f>
        <v/>
      </c>
      <c r="AX7" s="26">
        <f>IFERROR(INDEX(GP_SettableEggs,42),0)</f>
        <v/>
      </c>
      <c r="AY7" s="26">
        <f>IFERROR(INDEX(GP_SettableEggs,43),0)</f>
        <v/>
      </c>
      <c r="AZ7" s="26">
        <f>IFERROR(INDEX(GP_SettableEggs,44),0)</f>
        <v/>
      </c>
      <c r="BA7" s="26">
        <f>IFERROR(INDEX(GP_SettableEggs,45),0)</f>
        <v/>
      </c>
      <c r="BB7" s="26">
        <f>IFERROR(INDEX(GP_SettableEggs,46),0)</f>
        <v/>
      </c>
      <c r="BC7" s="26">
        <f>IFERROR(INDEX(GP_SettableEggs,47),0)</f>
        <v/>
      </c>
      <c r="BD7" s="26">
        <f>IFERROR(INDEX(GP_SettableEggs,48),0)</f>
        <v/>
      </c>
      <c r="BE7" s="26">
        <f>IFERROR(INDEX(GP_SettableEggs,49),0)</f>
        <v/>
      </c>
      <c r="BF7" s="26">
        <f>IFERROR(INDEX(GP_SettableEggs,50),0)</f>
        <v/>
      </c>
      <c r="BG7" s="26">
        <f>IFERROR(INDEX(GP_SettableEggs,51),0)</f>
        <v/>
      </c>
      <c r="BH7" s="26">
        <f>IFERROR(INDEX(GP_SettableEggs,52),0)</f>
        <v/>
      </c>
    </row>
    <row r="8" ht="16" customHeight="1">
      <c r="A8" s="31" t="inlineStr">
        <is>
          <t>Hatchery Utilisation %</t>
        </is>
      </c>
      <c r="B8" s="32">
        <f> Eggs Set ÷ param_GPHatchery_Capacity</f>
        <v/>
      </c>
      <c r="I8" s="35">
        <f>IFERROR(I7/param_GPHatchery_Capacity,0)</f>
        <v/>
      </c>
      <c r="J8" s="35">
        <f>IFERROR(J7/param_GPHatchery_Capacity,0)</f>
        <v/>
      </c>
      <c r="K8" s="35">
        <f>IFERROR(K7/param_GPHatchery_Capacity,0)</f>
        <v/>
      </c>
      <c r="L8" s="35">
        <f>IFERROR(L7/param_GPHatchery_Capacity,0)</f>
        <v/>
      </c>
      <c r="M8" s="35">
        <f>IFERROR(M7/param_GPHatchery_Capacity,0)</f>
        <v/>
      </c>
      <c r="N8" s="35">
        <f>IFERROR(N7/param_GPHatchery_Capacity,0)</f>
        <v/>
      </c>
      <c r="O8" s="35">
        <f>IFERROR(O7/param_GPHatchery_Capacity,0)</f>
        <v/>
      </c>
      <c r="P8" s="35">
        <f>IFERROR(P7/param_GPHatchery_Capacity,0)</f>
        <v/>
      </c>
      <c r="Q8" s="35">
        <f>IFERROR(Q7/param_GPHatchery_Capacity,0)</f>
        <v/>
      </c>
      <c r="R8" s="35">
        <f>IFERROR(R7/param_GPHatchery_Capacity,0)</f>
        <v/>
      </c>
      <c r="S8" s="35">
        <f>IFERROR(S7/param_GPHatchery_Capacity,0)</f>
        <v/>
      </c>
      <c r="T8" s="35">
        <f>IFERROR(T7/param_GPHatchery_Capacity,0)</f>
        <v/>
      </c>
      <c r="U8" s="35">
        <f>IFERROR(U7/param_GPHatchery_Capacity,0)</f>
        <v/>
      </c>
      <c r="V8" s="35">
        <f>IFERROR(V7/param_GPHatchery_Capacity,0)</f>
        <v/>
      </c>
      <c r="W8" s="35">
        <f>IFERROR(W7/param_GPHatchery_Capacity,0)</f>
        <v/>
      </c>
      <c r="X8" s="35">
        <f>IFERROR(X7/param_GPHatchery_Capacity,0)</f>
        <v/>
      </c>
      <c r="Y8" s="35">
        <f>IFERROR(Y7/param_GPHatchery_Capacity,0)</f>
        <v/>
      </c>
      <c r="Z8" s="35">
        <f>IFERROR(Z7/param_GPHatchery_Capacity,0)</f>
        <v/>
      </c>
      <c r="AA8" s="35">
        <f>IFERROR(AA7/param_GPHatchery_Capacity,0)</f>
        <v/>
      </c>
      <c r="AB8" s="35">
        <f>IFERROR(AB7/param_GPHatchery_Capacity,0)</f>
        <v/>
      </c>
      <c r="AC8" s="35">
        <f>IFERROR(AC7/param_GPHatchery_Capacity,0)</f>
        <v/>
      </c>
      <c r="AD8" s="35">
        <f>IFERROR(AD7/param_GPHatchery_Capacity,0)</f>
        <v/>
      </c>
      <c r="AE8" s="35">
        <f>IFERROR(AE7/param_GPHatchery_Capacity,0)</f>
        <v/>
      </c>
      <c r="AF8" s="35">
        <f>IFERROR(AF7/param_GPHatchery_Capacity,0)</f>
        <v/>
      </c>
      <c r="AG8" s="35">
        <f>IFERROR(AG7/param_GPHatchery_Capacity,0)</f>
        <v/>
      </c>
      <c r="AH8" s="35">
        <f>IFERROR(AH7/param_GPHatchery_Capacity,0)</f>
        <v/>
      </c>
      <c r="AI8" s="35">
        <f>IFERROR(AI7/param_GPHatchery_Capacity,0)</f>
        <v/>
      </c>
      <c r="AJ8" s="35">
        <f>IFERROR(AJ7/param_GPHatchery_Capacity,0)</f>
        <v/>
      </c>
      <c r="AK8" s="35">
        <f>IFERROR(AK7/param_GPHatchery_Capacity,0)</f>
        <v/>
      </c>
      <c r="AL8" s="35">
        <f>IFERROR(AL7/param_GPHatchery_Capacity,0)</f>
        <v/>
      </c>
      <c r="AM8" s="35">
        <f>IFERROR(AM7/param_GPHatchery_Capacity,0)</f>
        <v/>
      </c>
      <c r="AN8" s="35">
        <f>IFERROR(AN7/param_GPHatchery_Capacity,0)</f>
        <v/>
      </c>
      <c r="AO8" s="35">
        <f>IFERROR(AO7/param_GPHatchery_Capacity,0)</f>
        <v/>
      </c>
      <c r="AP8" s="35">
        <f>IFERROR(AP7/param_GPHatchery_Capacity,0)</f>
        <v/>
      </c>
      <c r="AQ8" s="35">
        <f>IFERROR(AQ7/param_GPHatchery_Capacity,0)</f>
        <v/>
      </c>
      <c r="AR8" s="35">
        <f>IFERROR(AR7/param_GPHatchery_Capacity,0)</f>
        <v/>
      </c>
      <c r="AS8" s="35">
        <f>IFERROR(AS7/param_GPHatchery_Capacity,0)</f>
        <v/>
      </c>
      <c r="AT8" s="35">
        <f>IFERROR(AT7/param_GPHatchery_Capacity,0)</f>
        <v/>
      </c>
      <c r="AU8" s="35">
        <f>IFERROR(AU7/param_GPHatchery_Capacity,0)</f>
        <v/>
      </c>
      <c r="AV8" s="35">
        <f>IFERROR(AV7/param_GPHatchery_Capacity,0)</f>
        <v/>
      </c>
      <c r="AW8" s="35">
        <f>IFERROR(AW7/param_GPHatchery_Capacity,0)</f>
        <v/>
      </c>
      <c r="AX8" s="35">
        <f>IFERROR(AX7/param_GPHatchery_Capacity,0)</f>
        <v/>
      </c>
      <c r="AY8" s="35">
        <f>IFERROR(AY7/param_GPHatchery_Capacity,0)</f>
        <v/>
      </c>
      <c r="AZ8" s="35">
        <f>IFERROR(AZ7/param_GPHatchery_Capacity,0)</f>
        <v/>
      </c>
      <c r="BA8" s="35">
        <f>IFERROR(BA7/param_GPHatchery_Capacity,0)</f>
        <v/>
      </c>
      <c r="BB8" s="35">
        <f>IFERROR(BB7/param_GPHatchery_Capacity,0)</f>
        <v/>
      </c>
      <c r="BC8" s="35">
        <f>IFERROR(BC7/param_GPHatchery_Capacity,0)</f>
        <v/>
      </c>
      <c r="BD8" s="35">
        <f>IFERROR(BD7/param_GPHatchery_Capacity,0)</f>
        <v/>
      </c>
      <c r="BE8" s="35">
        <f>IFERROR(BE7/param_GPHatchery_Capacity,0)</f>
        <v/>
      </c>
      <c r="BF8" s="35">
        <f>IFERROR(BF7/param_GPHatchery_Capacity,0)</f>
        <v/>
      </c>
      <c r="BG8" s="35">
        <f>IFERROR(BG7/param_GPHatchery_Capacity,0)</f>
        <v/>
      </c>
      <c r="BH8" s="35">
        <f>IFERROR(BH7/param_GPHatchery_Capacity,0)</f>
        <v/>
      </c>
    </row>
    <row r="9" ht="16" customHeight="1">
      <c r="A9" s="36" t="inlineStr">
        <is>
          <t>↓ 21-day incubation  ↓</t>
        </is>
      </c>
      <c r="B9" s="37" t="inlineStr">
        <is>
          <t>(Hatch date = Setting date + 21 days = +3 weeks)</t>
        </is>
      </c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8" t="n"/>
      <c r="AJ9" s="38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8" t="n"/>
      <c r="AW9" s="38" t="n"/>
      <c r="AX9" s="38" t="n"/>
      <c r="AY9" s="38" t="n"/>
      <c r="AZ9" s="38" t="n"/>
      <c r="BA9" s="38" t="n"/>
      <c r="BB9" s="38" t="n"/>
      <c r="BC9" s="38" t="n"/>
      <c r="BD9" s="38" t="n"/>
      <c r="BE9" s="38" t="n"/>
      <c r="BF9" s="38" t="n"/>
      <c r="BG9" s="38" t="n"/>
      <c r="BH9" s="38" t="n"/>
    </row>
    <row r="10" ht="16" customHeight="1">
      <c r="A10" s="39" t="inlineStr">
        <is>
          <t>PS DOC Output (Cobb ♀ + retained ♂)</t>
        </is>
      </c>
      <c r="B10" s="40">
        <f> Eggs Set [3 wk ago] × GP Hatch Rate × (1 − Male Byproduct %)</f>
        <v/>
      </c>
      <c r="I10" s="41">
        <f>0</f>
        <v/>
      </c>
      <c r="J10" s="41">
        <f>0</f>
        <v/>
      </c>
      <c r="K10" s="41">
        <f>0</f>
        <v/>
      </c>
      <c r="L10" s="41">
        <f>IFERROR(ROUND(I7*param_GP_HatchRate*(1-param_GP_MaleByproductPct),0),0)</f>
        <v/>
      </c>
      <c r="M10" s="41">
        <f>IFERROR(ROUND(J7*param_GP_HatchRate*(1-param_GP_MaleByproductPct),0),0)</f>
        <v/>
      </c>
      <c r="N10" s="41">
        <f>IFERROR(ROUND(K7*param_GP_HatchRate*(1-param_GP_MaleByproductPct),0),0)</f>
        <v/>
      </c>
      <c r="O10" s="41">
        <f>IFERROR(ROUND(L7*param_GP_HatchRate*(1-param_GP_MaleByproductPct),0),0)</f>
        <v/>
      </c>
      <c r="P10" s="41">
        <f>IFERROR(ROUND(M7*param_GP_HatchRate*(1-param_GP_MaleByproductPct),0),0)</f>
        <v/>
      </c>
      <c r="Q10" s="41">
        <f>IFERROR(ROUND(N7*param_GP_HatchRate*(1-param_GP_MaleByproductPct),0),0)</f>
        <v/>
      </c>
      <c r="R10" s="41">
        <f>IFERROR(ROUND(O7*param_GP_HatchRate*(1-param_GP_MaleByproductPct),0),0)</f>
        <v/>
      </c>
      <c r="S10" s="41">
        <f>IFERROR(ROUND(P7*param_GP_HatchRate*(1-param_GP_MaleByproductPct),0),0)</f>
        <v/>
      </c>
      <c r="T10" s="41">
        <f>IFERROR(ROUND(Q7*param_GP_HatchRate*(1-param_GP_MaleByproductPct),0),0)</f>
        <v/>
      </c>
      <c r="U10" s="41">
        <f>IFERROR(ROUND(R7*param_GP_HatchRate*(1-param_GP_MaleByproductPct),0),0)</f>
        <v/>
      </c>
      <c r="V10" s="41">
        <f>IFERROR(ROUND(S7*param_GP_HatchRate*(1-param_GP_MaleByproductPct),0),0)</f>
        <v/>
      </c>
      <c r="W10" s="41">
        <f>IFERROR(ROUND(T7*param_GP_HatchRate*(1-param_GP_MaleByproductPct),0),0)</f>
        <v/>
      </c>
      <c r="X10" s="41">
        <f>IFERROR(ROUND(U7*param_GP_HatchRate*(1-param_GP_MaleByproductPct),0),0)</f>
        <v/>
      </c>
      <c r="Y10" s="41">
        <f>IFERROR(ROUND(V7*param_GP_HatchRate*(1-param_GP_MaleByproductPct),0),0)</f>
        <v/>
      </c>
      <c r="Z10" s="41">
        <f>IFERROR(ROUND(W7*param_GP_HatchRate*(1-param_GP_MaleByproductPct),0),0)</f>
        <v/>
      </c>
      <c r="AA10" s="41">
        <f>IFERROR(ROUND(X7*param_GP_HatchRate*(1-param_GP_MaleByproductPct),0),0)</f>
        <v/>
      </c>
      <c r="AB10" s="41">
        <f>IFERROR(ROUND(Y7*param_GP_HatchRate*(1-param_GP_MaleByproductPct),0),0)</f>
        <v/>
      </c>
      <c r="AC10" s="41">
        <f>IFERROR(ROUND(Z7*param_GP_HatchRate*(1-param_GP_MaleByproductPct),0),0)</f>
        <v/>
      </c>
      <c r="AD10" s="41">
        <f>IFERROR(ROUND(AA7*param_GP_HatchRate*(1-param_GP_MaleByproductPct),0),0)</f>
        <v/>
      </c>
      <c r="AE10" s="41">
        <f>IFERROR(ROUND(AB7*param_GP_HatchRate*(1-param_GP_MaleByproductPct),0),0)</f>
        <v/>
      </c>
      <c r="AF10" s="41">
        <f>IFERROR(ROUND(AC7*param_GP_HatchRate*(1-param_GP_MaleByproductPct),0),0)</f>
        <v/>
      </c>
      <c r="AG10" s="41">
        <f>IFERROR(ROUND(AD7*param_GP_HatchRate*(1-param_GP_MaleByproductPct),0),0)</f>
        <v/>
      </c>
      <c r="AH10" s="41">
        <f>IFERROR(ROUND(AE7*param_GP_HatchRate*(1-param_GP_MaleByproductPct),0),0)</f>
        <v/>
      </c>
      <c r="AI10" s="41">
        <f>IFERROR(ROUND(AF7*param_GP_HatchRate*(1-param_GP_MaleByproductPct),0),0)</f>
        <v/>
      </c>
      <c r="AJ10" s="41">
        <f>IFERROR(ROUND(AG7*param_GP_HatchRate*(1-param_GP_MaleByproductPct),0),0)</f>
        <v/>
      </c>
      <c r="AK10" s="41">
        <f>IFERROR(ROUND(AH7*param_GP_HatchRate*(1-param_GP_MaleByproductPct),0),0)</f>
        <v/>
      </c>
      <c r="AL10" s="41">
        <f>IFERROR(ROUND(AI7*param_GP_HatchRate*(1-param_GP_MaleByproductPct),0),0)</f>
        <v/>
      </c>
      <c r="AM10" s="41">
        <f>IFERROR(ROUND(AJ7*param_GP_HatchRate*(1-param_GP_MaleByproductPct),0),0)</f>
        <v/>
      </c>
      <c r="AN10" s="41">
        <f>IFERROR(ROUND(AK7*param_GP_HatchRate*(1-param_GP_MaleByproductPct),0),0)</f>
        <v/>
      </c>
      <c r="AO10" s="41">
        <f>IFERROR(ROUND(AL7*param_GP_HatchRate*(1-param_GP_MaleByproductPct),0),0)</f>
        <v/>
      </c>
      <c r="AP10" s="41">
        <f>IFERROR(ROUND(AM7*param_GP_HatchRate*(1-param_GP_MaleByproductPct),0),0)</f>
        <v/>
      </c>
      <c r="AQ10" s="41">
        <f>IFERROR(ROUND(AN7*param_GP_HatchRate*(1-param_GP_MaleByproductPct),0),0)</f>
        <v/>
      </c>
      <c r="AR10" s="41">
        <f>IFERROR(ROUND(AO7*param_GP_HatchRate*(1-param_GP_MaleByproductPct),0),0)</f>
        <v/>
      </c>
      <c r="AS10" s="41">
        <f>IFERROR(ROUND(AP7*param_GP_HatchRate*(1-param_GP_MaleByproductPct),0),0)</f>
        <v/>
      </c>
      <c r="AT10" s="41">
        <f>IFERROR(ROUND(AQ7*param_GP_HatchRate*(1-param_GP_MaleByproductPct),0),0)</f>
        <v/>
      </c>
      <c r="AU10" s="41">
        <f>IFERROR(ROUND(AR7*param_GP_HatchRate*(1-param_GP_MaleByproductPct),0),0)</f>
        <v/>
      </c>
      <c r="AV10" s="41">
        <f>IFERROR(ROUND(AS7*param_GP_HatchRate*(1-param_GP_MaleByproductPct),0),0)</f>
        <v/>
      </c>
      <c r="AW10" s="41">
        <f>IFERROR(ROUND(AT7*param_GP_HatchRate*(1-param_GP_MaleByproductPct),0),0)</f>
        <v/>
      </c>
      <c r="AX10" s="41">
        <f>IFERROR(ROUND(AU7*param_GP_HatchRate*(1-param_GP_MaleByproductPct),0),0)</f>
        <v/>
      </c>
      <c r="AY10" s="41">
        <f>IFERROR(ROUND(AV7*param_GP_HatchRate*(1-param_GP_MaleByproductPct),0),0)</f>
        <v/>
      </c>
      <c r="AZ10" s="41">
        <f>IFERROR(ROUND(AW7*param_GP_HatchRate*(1-param_GP_MaleByproductPct),0),0)</f>
        <v/>
      </c>
      <c r="BA10" s="41">
        <f>IFERROR(ROUND(AX7*param_GP_HatchRate*(1-param_GP_MaleByproductPct),0),0)</f>
        <v/>
      </c>
      <c r="BB10" s="41">
        <f>IFERROR(ROUND(AY7*param_GP_HatchRate*(1-param_GP_MaleByproductPct),0),0)</f>
        <v/>
      </c>
      <c r="BC10" s="41">
        <f>IFERROR(ROUND(AZ7*param_GP_HatchRate*(1-param_GP_MaleByproductPct),0),0)</f>
        <v/>
      </c>
      <c r="BD10" s="41">
        <f>IFERROR(ROUND(BA7*param_GP_HatchRate*(1-param_GP_MaleByproductPct),0),0)</f>
        <v/>
      </c>
      <c r="BE10" s="41">
        <f>IFERROR(ROUND(BB7*param_GP_HatchRate*(1-param_GP_MaleByproductPct),0),0)</f>
        <v/>
      </c>
      <c r="BF10" s="41">
        <f>IFERROR(ROUND(BC7*param_GP_HatchRate*(1-param_GP_MaleByproductPct),0),0)</f>
        <v/>
      </c>
      <c r="BG10" s="41">
        <f>IFERROR(ROUND(BD7*param_GP_HatchRate*(1-param_GP_MaleByproductPct),0),0)</f>
        <v/>
      </c>
      <c r="BH10" s="41">
        <f>IFERROR(ROUND(BE7*param_GP_HatchRate*(1-param_GP_MaleByproductPct),0),0)</f>
        <v/>
      </c>
    </row>
    <row r="11" ht="16" customHeight="1">
      <c r="A11" s="42" t="inlineStr">
        <is>
          <t>Byproduct Broiler DOC  (mat. 100800160054)</t>
        </is>
      </c>
      <c r="B11" s="43">
        <f> Eggs Set [3 wk ago] × GP Hatch Rate × Male Byproduct % — surplus males</f>
        <v/>
      </c>
      <c r="I11" s="44">
        <f>0</f>
        <v/>
      </c>
      <c r="J11" s="44">
        <f>0</f>
        <v/>
      </c>
      <c r="K11" s="44">
        <f>0</f>
        <v/>
      </c>
      <c r="L11" s="44">
        <f>IFERROR(ROUND(I7*param_GP_HatchRate*param_GP_MaleByproductPct,0),0)</f>
        <v/>
      </c>
      <c r="M11" s="44">
        <f>IFERROR(ROUND(J7*param_GP_HatchRate*param_GP_MaleByproductPct,0),0)</f>
        <v/>
      </c>
      <c r="N11" s="44">
        <f>IFERROR(ROUND(K7*param_GP_HatchRate*param_GP_MaleByproductPct,0),0)</f>
        <v/>
      </c>
      <c r="O11" s="44">
        <f>IFERROR(ROUND(L7*param_GP_HatchRate*param_GP_MaleByproductPct,0),0)</f>
        <v/>
      </c>
      <c r="P11" s="44">
        <f>IFERROR(ROUND(M7*param_GP_HatchRate*param_GP_MaleByproductPct,0),0)</f>
        <v/>
      </c>
      <c r="Q11" s="44">
        <f>IFERROR(ROUND(N7*param_GP_HatchRate*param_GP_MaleByproductPct,0),0)</f>
        <v/>
      </c>
      <c r="R11" s="44">
        <f>IFERROR(ROUND(O7*param_GP_HatchRate*param_GP_MaleByproductPct,0),0)</f>
        <v/>
      </c>
      <c r="S11" s="44">
        <f>IFERROR(ROUND(P7*param_GP_HatchRate*param_GP_MaleByproductPct,0),0)</f>
        <v/>
      </c>
      <c r="T11" s="44">
        <f>IFERROR(ROUND(Q7*param_GP_HatchRate*param_GP_MaleByproductPct,0),0)</f>
        <v/>
      </c>
      <c r="U11" s="44">
        <f>IFERROR(ROUND(R7*param_GP_HatchRate*param_GP_MaleByproductPct,0),0)</f>
        <v/>
      </c>
      <c r="V11" s="44">
        <f>IFERROR(ROUND(S7*param_GP_HatchRate*param_GP_MaleByproductPct,0),0)</f>
        <v/>
      </c>
      <c r="W11" s="44">
        <f>IFERROR(ROUND(T7*param_GP_HatchRate*param_GP_MaleByproductPct,0),0)</f>
        <v/>
      </c>
      <c r="X11" s="44">
        <f>IFERROR(ROUND(U7*param_GP_HatchRate*param_GP_MaleByproductPct,0),0)</f>
        <v/>
      </c>
      <c r="Y11" s="44">
        <f>IFERROR(ROUND(V7*param_GP_HatchRate*param_GP_MaleByproductPct,0),0)</f>
        <v/>
      </c>
      <c r="Z11" s="44">
        <f>IFERROR(ROUND(W7*param_GP_HatchRate*param_GP_MaleByproductPct,0),0)</f>
        <v/>
      </c>
      <c r="AA11" s="44">
        <f>IFERROR(ROUND(X7*param_GP_HatchRate*param_GP_MaleByproductPct,0),0)</f>
        <v/>
      </c>
      <c r="AB11" s="44">
        <f>IFERROR(ROUND(Y7*param_GP_HatchRate*param_GP_MaleByproductPct,0),0)</f>
        <v/>
      </c>
      <c r="AC11" s="44">
        <f>IFERROR(ROUND(Z7*param_GP_HatchRate*param_GP_MaleByproductPct,0),0)</f>
        <v/>
      </c>
      <c r="AD11" s="44">
        <f>IFERROR(ROUND(AA7*param_GP_HatchRate*param_GP_MaleByproductPct,0),0)</f>
        <v/>
      </c>
      <c r="AE11" s="44">
        <f>IFERROR(ROUND(AB7*param_GP_HatchRate*param_GP_MaleByproductPct,0),0)</f>
        <v/>
      </c>
      <c r="AF11" s="44">
        <f>IFERROR(ROUND(AC7*param_GP_HatchRate*param_GP_MaleByproductPct,0),0)</f>
        <v/>
      </c>
      <c r="AG11" s="44">
        <f>IFERROR(ROUND(AD7*param_GP_HatchRate*param_GP_MaleByproductPct,0),0)</f>
        <v/>
      </c>
      <c r="AH11" s="44">
        <f>IFERROR(ROUND(AE7*param_GP_HatchRate*param_GP_MaleByproductPct,0),0)</f>
        <v/>
      </c>
      <c r="AI11" s="44">
        <f>IFERROR(ROUND(AF7*param_GP_HatchRate*param_GP_MaleByproductPct,0),0)</f>
        <v/>
      </c>
      <c r="AJ11" s="44">
        <f>IFERROR(ROUND(AG7*param_GP_HatchRate*param_GP_MaleByproductPct,0),0)</f>
        <v/>
      </c>
      <c r="AK11" s="44">
        <f>IFERROR(ROUND(AH7*param_GP_HatchRate*param_GP_MaleByproductPct,0),0)</f>
        <v/>
      </c>
      <c r="AL11" s="44">
        <f>IFERROR(ROUND(AI7*param_GP_HatchRate*param_GP_MaleByproductPct,0),0)</f>
        <v/>
      </c>
      <c r="AM11" s="44">
        <f>IFERROR(ROUND(AJ7*param_GP_HatchRate*param_GP_MaleByproductPct,0),0)</f>
        <v/>
      </c>
      <c r="AN11" s="44">
        <f>IFERROR(ROUND(AK7*param_GP_HatchRate*param_GP_MaleByproductPct,0),0)</f>
        <v/>
      </c>
      <c r="AO11" s="44">
        <f>IFERROR(ROUND(AL7*param_GP_HatchRate*param_GP_MaleByproductPct,0),0)</f>
        <v/>
      </c>
      <c r="AP11" s="44">
        <f>IFERROR(ROUND(AM7*param_GP_HatchRate*param_GP_MaleByproductPct,0),0)</f>
        <v/>
      </c>
      <c r="AQ11" s="44">
        <f>IFERROR(ROUND(AN7*param_GP_HatchRate*param_GP_MaleByproductPct,0),0)</f>
        <v/>
      </c>
      <c r="AR11" s="44">
        <f>IFERROR(ROUND(AO7*param_GP_HatchRate*param_GP_MaleByproductPct,0),0)</f>
        <v/>
      </c>
      <c r="AS11" s="44">
        <f>IFERROR(ROUND(AP7*param_GP_HatchRate*param_GP_MaleByproductPct,0),0)</f>
        <v/>
      </c>
      <c r="AT11" s="44">
        <f>IFERROR(ROUND(AQ7*param_GP_HatchRate*param_GP_MaleByproductPct,0),0)</f>
        <v/>
      </c>
      <c r="AU11" s="44">
        <f>IFERROR(ROUND(AR7*param_GP_HatchRate*param_GP_MaleByproductPct,0),0)</f>
        <v/>
      </c>
      <c r="AV11" s="44">
        <f>IFERROR(ROUND(AS7*param_GP_HatchRate*param_GP_MaleByproductPct,0),0)</f>
        <v/>
      </c>
      <c r="AW11" s="44">
        <f>IFERROR(ROUND(AT7*param_GP_HatchRate*param_GP_MaleByproductPct,0),0)</f>
        <v/>
      </c>
      <c r="AX11" s="44">
        <f>IFERROR(ROUND(AU7*param_GP_HatchRate*param_GP_MaleByproductPct,0),0)</f>
        <v/>
      </c>
      <c r="AY11" s="44">
        <f>IFERROR(ROUND(AV7*param_GP_HatchRate*param_GP_MaleByproductPct,0),0)</f>
        <v/>
      </c>
      <c r="AZ11" s="44">
        <f>IFERROR(ROUND(AW7*param_GP_HatchRate*param_GP_MaleByproductPct,0),0)</f>
        <v/>
      </c>
      <c r="BA11" s="44">
        <f>IFERROR(ROUND(AX7*param_GP_HatchRate*param_GP_MaleByproductPct,0),0)</f>
        <v/>
      </c>
      <c r="BB11" s="44">
        <f>IFERROR(ROUND(AY7*param_GP_HatchRate*param_GP_MaleByproductPct,0),0)</f>
        <v/>
      </c>
      <c r="BC11" s="44">
        <f>IFERROR(ROUND(AZ7*param_GP_HatchRate*param_GP_MaleByproductPct,0),0)</f>
        <v/>
      </c>
      <c r="BD11" s="44">
        <f>IFERROR(ROUND(BA7*param_GP_HatchRate*param_GP_MaleByproductPct,0),0)</f>
        <v/>
      </c>
      <c r="BE11" s="44">
        <f>IFERROR(ROUND(BB7*param_GP_HatchRate*param_GP_MaleByproductPct,0),0)</f>
        <v/>
      </c>
      <c r="BF11" s="44">
        <f>IFERROR(ROUND(BC7*param_GP_HatchRate*param_GP_MaleByproductPct,0),0)</f>
        <v/>
      </c>
      <c r="BG11" s="44">
        <f>IFERROR(ROUND(BD7*param_GP_HatchRate*param_GP_MaleByproductPct,0),0)</f>
        <v/>
      </c>
      <c r="BH11" s="44">
        <f>IFERROR(ROUND(BE7*param_GP_HatchRate*param_GP_MaleByproductPct,0),0)</f>
        <v/>
      </c>
    </row>
    <row r="12" ht="16" customHeight="1">
      <c r="A12" s="45" t="inlineStr">
        <is>
          <t>Total DOC Output</t>
        </is>
      </c>
      <c r="B12" s="46">
        <f> PS DOC + Byproduct DOC</f>
        <v/>
      </c>
      <c r="I12" s="47">
        <f>IFERROR(I10+I11,0)</f>
        <v/>
      </c>
      <c r="J12" s="47">
        <f>IFERROR(J10+J11,0)</f>
        <v/>
      </c>
      <c r="K12" s="47">
        <f>IFERROR(K10+K11,0)</f>
        <v/>
      </c>
      <c r="L12" s="47">
        <f>IFERROR(L10+L11,0)</f>
        <v/>
      </c>
      <c r="M12" s="47">
        <f>IFERROR(M10+M11,0)</f>
        <v/>
      </c>
      <c r="N12" s="47">
        <f>IFERROR(N10+N11,0)</f>
        <v/>
      </c>
      <c r="O12" s="47">
        <f>IFERROR(O10+O11,0)</f>
        <v/>
      </c>
      <c r="P12" s="47">
        <f>IFERROR(P10+P11,0)</f>
        <v/>
      </c>
      <c r="Q12" s="47">
        <f>IFERROR(Q10+Q11,0)</f>
        <v/>
      </c>
      <c r="R12" s="47">
        <f>IFERROR(R10+R11,0)</f>
        <v/>
      </c>
      <c r="S12" s="47">
        <f>IFERROR(S10+S11,0)</f>
        <v/>
      </c>
      <c r="T12" s="47">
        <f>IFERROR(T10+T11,0)</f>
        <v/>
      </c>
      <c r="U12" s="47">
        <f>IFERROR(U10+U11,0)</f>
        <v/>
      </c>
      <c r="V12" s="47">
        <f>IFERROR(V10+V11,0)</f>
        <v/>
      </c>
      <c r="W12" s="47">
        <f>IFERROR(W10+W11,0)</f>
        <v/>
      </c>
      <c r="X12" s="47">
        <f>IFERROR(X10+X11,0)</f>
        <v/>
      </c>
      <c r="Y12" s="47">
        <f>IFERROR(Y10+Y11,0)</f>
        <v/>
      </c>
      <c r="Z12" s="47">
        <f>IFERROR(Z10+Z11,0)</f>
        <v/>
      </c>
      <c r="AA12" s="47">
        <f>IFERROR(AA10+AA11,0)</f>
        <v/>
      </c>
      <c r="AB12" s="47">
        <f>IFERROR(AB10+AB11,0)</f>
        <v/>
      </c>
      <c r="AC12" s="47">
        <f>IFERROR(AC10+AC11,0)</f>
        <v/>
      </c>
      <c r="AD12" s="47">
        <f>IFERROR(AD10+AD11,0)</f>
        <v/>
      </c>
      <c r="AE12" s="47">
        <f>IFERROR(AE10+AE11,0)</f>
        <v/>
      </c>
      <c r="AF12" s="47">
        <f>IFERROR(AF10+AF11,0)</f>
        <v/>
      </c>
      <c r="AG12" s="47">
        <f>IFERROR(AG10+AG11,0)</f>
        <v/>
      </c>
      <c r="AH12" s="47">
        <f>IFERROR(AH10+AH11,0)</f>
        <v/>
      </c>
      <c r="AI12" s="47">
        <f>IFERROR(AI10+AI11,0)</f>
        <v/>
      </c>
      <c r="AJ12" s="47">
        <f>IFERROR(AJ10+AJ11,0)</f>
        <v/>
      </c>
      <c r="AK12" s="47">
        <f>IFERROR(AK10+AK11,0)</f>
        <v/>
      </c>
      <c r="AL12" s="47">
        <f>IFERROR(AL10+AL11,0)</f>
        <v/>
      </c>
      <c r="AM12" s="47">
        <f>IFERROR(AM10+AM11,0)</f>
        <v/>
      </c>
      <c r="AN12" s="47">
        <f>IFERROR(AN10+AN11,0)</f>
        <v/>
      </c>
      <c r="AO12" s="47">
        <f>IFERROR(AO10+AO11,0)</f>
        <v/>
      </c>
      <c r="AP12" s="47">
        <f>IFERROR(AP10+AP11,0)</f>
        <v/>
      </c>
      <c r="AQ12" s="47">
        <f>IFERROR(AQ10+AQ11,0)</f>
        <v/>
      </c>
      <c r="AR12" s="47">
        <f>IFERROR(AR10+AR11,0)</f>
        <v/>
      </c>
      <c r="AS12" s="47">
        <f>IFERROR(AS10+AS11,0)</f>
        <v/>
      </c>
      <c r="AT12" s="47">
        <f>IFERROR(AT10+AT11,0)</f>
        <v/>
      </c>
      <c r="AU12" s="47">
        <f>IFERROR(AU10+AU11,0)</f>
        <v/>
      </c>
      <c r="AV12" s="47">
        <f>IFERROR(AV10+AV11,0)</f>
        <v/>
      </c>
      <c r="AW12" s="47">
        <f>IFERROR(AW10+AW11,0)</f>
        <v/>
      </c>
      <c r="AX12" s="47">
        <f>IFERROR(AX10+AX11,0)</f>
        <v/>
      </c>
      <c r="AY12" s="47">
        <f>IFERROR(AY10+AY11,0)</f>
        <v/>
      </c>
      <c r="AZ12" s="47">
        <f>IFERROR(AZ10+AZ11,0)</f>
        <v/>
      </c>
      <c r="BA12" s="47">
        <f>IFERROR(BA10+BA11,0)</f>
        <v/>
      </c>
      <c r="BB12" s="47">
        <f>IFERROR(BB10+BB11,0)</f>
        <v/>
      </c>
      <c r="BC12" s="47">
        <f>IFERROR(BC10+BC11,0)</f>
        <v/>
      </c>
      <c r="BD12" s="47">
        <f>IFERROR(BD10+BD11,0)</f>
        <v/>
      </c>
      <c r="BE12" s="47">
        <f>IFERROR(BE10+BE11,0)</f>
        <v/>
      </c>
      <c r="BF12" s="47">
        <f>IFERROR(BF10+BF11,0)</f>
        <v/>
      </c>
      <c r="BG12" s="47">
        <f>IFERROR(BG10+BG11,0)</f>
        <v/>
      </c>
      <c r="BH12" s="47">
        <f>IFERROR(BH10+BH11,0)</f>
        <v/>
      </c>
    </row>
  </sheetData>
  <mergeCells count="4">
    <mergeCell ref="A1:BB1"/>
    <mergeCell ref="I4:BH4"/>
    <mergeCell ref="A2:B2"/>
    <mergeCell ref="A3:BB3"/>
  </mergeCells>
  <conditionalFormatting sqref="I8:BH8">
    <cfRule type="cellIs" priority="1" operator="greaterThan" dxfId="1">
      <formula>0.9</formula>
    </cfRule>
    <cfRule type="cellIs" priority="2" operator="lessThanOrEqual" dxfId="2">
      <formula>0.9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34"/>
  <sheetViews>
    <sheetView workbookViewId="0">
      <pane xSplit="10" ySplit="6" topLeftCell="K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2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</cols>
  <sheetData>
    <row r="1" ht="26" customHeight="1">
      <c r="A1" s="1" t="inlineStr">
        <is>
          <t>TAB 3 — PS REARING &amp; LAYING PLAN  |  LEFT: Cobb-500 PS (from Tab 2)  |  RIGHT: Ross-308 PS (external PO)  |  Plants: 1230 (Rearing) + 1220 (Laying)  |  Shared Capacity Tracker</t>
        </is>
      </c>
    </row>
    <row r="2" ht="13" customHeight="1">
      <c r="A2" s="3" t="inlineStr">
        <is>
          <t>[AR: TBD — خطة التربية والإنتاج للأمهات / PS Plan]</t>
        </is>
      </c>
    </row>
    <row r="3" ht="18" customHeight="1">
      <c r="A3" s="48" t="inlineStr">
        <is>
          <t xml:space="preserve">  ● COBB-500 PS — Rearing at Plant 1230 → Laying at Plant 1220  (DOC sourced from Tab 2 GP Hatchery PS DOC output)</t>
        </is>
      </c>
    </row>
    <row r="4" ht="28" customHeight="1">
      <c r="A4" s="49" t="inlineStr">
        <is>
          <t>Batch #</t>
        </is>
      </c>
      <c r="B4" s="49" t="inlineStr">
        <is>
          <t>Breed</t>
        </is>
      </c>
      <c r="C4" s="49" t="inlineStr">
        <is>
          <t>Arrival /
Placement Date</t>
        </is>
      </c>
      <c r="D4" s="49" t="inlineStr">
        <is>
          <t>Head Count
(DOC)</t>
        </is>
      </c>
      <c r="E4" s="49" t="inlineStr">
        <is>
          <t>PO Date
(Ross only — auto)</t>
        </is>
      </c>
      <c r="F4" s="49" t="inlineStr">
        <is>
          <t>PO Alert</t>
        </is>
      </c>
      <c r="G4" s="49" t="inlineStr">
        <is>
          <t>Rearing End
(auto)</t>
        </is>
      </c>
      <c r="H4" s="49" t="inlineStr">
        <is>
          <t>Laying Start
(auto)</t>
        </is>
      </c>
      <c r="I4" s="49" t="inlineStr">
        <is>
          <t>Laying End /
Depop (auto)</t>
        </is>
      </c>
      <c r="J4" s="49" t="inlineStr">
        <is>
          <t>Hens at
Lay Start (auto)</t>
        </is>
      </c>
      <c r="K4" s="50" t="inlineStr">
        <is>
          <t>◀  WEEKLY PS SETTABLE HATCHING EGGS  (eggs / week)  ▶</t>
        </is>
      </c>
    </row>
    <row r="5" ht="14" customHeight="1">
      <c r="K5" s="51">
        <f>param_PlanStartDate+0</f>
        <v/>
      </c>
      <c r="L5" s="51">
        <f>param_PlanStartDate+7</f>
        <v/>
      </c>
      <c r="M5" s="51">
        <f>param_PlanStartDate+14</f>
        <v/>
      </c>
      <c r="N5" s="51">
        <f>param_PlanStartDate+21</f>
        <v/>
      </c>
      <c r="O5" s="51">
        <f>param_PlanStartDate+28</f>
        <v/>
      </c>
      <c r="P5" s="51">
        <f>param_PlanStartDate+35</f>
        <v/>
      </c>
      <c r="Q5" s="51">
        <f>param_PlanStartDate+42</f>
        <v/>
      </c>
      <c r="R5" s="51">
        <f>param_PlanStartDate+49</f>
        <v/>
      </c>
      <c r="S5" s="51">
        <f>param_PlanStartDate+56</f>
        <v/>
      </c>
      <c r="T5" s="51">
        <f>param_PlanStartDate+63</f>
        <v/>
      </c>
      <c r="U5" s="51">
        <f>param_PlanStartDate+70</f>
        <v/>
      </c>
      <c r="V5" s="51">
        <f>param_PlanStartDate+77</f>
        <v/>
      </c>
      <c r="W5" s="51">
        <f>param_PlanStartDate+84</f>
        <v/>
      </c>
      <c r="X5" s="51">
        <f>param_PlanStartDate+91</f>
        <v/>
      </c>
      <c r="Y5" s="51">
        <f>param_PlanStartDate+98</f>
        <v/>
      </c>
      <c r="Z5" s="51">
        <f>param_PlanStartDate+105</f>
        <v/>
      </c>
      <c r="AA5" s="51">
        <f>param_PlanStartDate+112</f>
        <v/>
      </c>
      <c r="AB5" s="51">
        <f>param_PlanStartDate+119</f>
        <v/>
      </c>
      <c r="AC5" s="51">
        <f>param_PlanStartDate+126</f>
        <v/>
      </c>
      <c r="AD5" s="51">
        <f>param_PlanStartDate+133</f>
        <v/>
      </c>
      <c r="AE5" s="51">
        <f>param_PlanStartDate+140</f>
        <v/>
      </c>
      <c r="AF5" s="51">
        <f>param_PlanStartDate+147</f>
        <v/>
      </c>
      <c r="AG5" s="51">
        <f>param_PlanStartDate+154</f>
        <v/>
      </c>
      <c r="AH5" s="51">
        <f>param_PlanStartDate+161</f>
        <v/>
      </c>
      <c r="AI5" s="51">
        <f>param_PlanStartDate+168</f>
        <v/>
      </c>
      <c r="AJ5" s="51">
        <f>param_PlanStartDate+175</f>
        <v/>
      </c>
      <c r="AK5" s="51">
        <f>param_PlanStartDate+182</f>
        <v/>
      </c>
      <c r="AL5" s="51">
        <f>param_PlanStartDate+189</f>
        <v/>
      </c>
      <c r="AM5" s="51">
        <f>param_PlanStartDate+196</f>
        <v/>
      </c>
      <c r="AN5" s="51">
        <f>param_PlanStartDate+203</f>
        <v/>
      </c>
      <c r="AO5" s="51">
        <f>param_PlanStartDate+210</f>
        <v/>
      </c>
      <c r="AP5" s="51">
        <f>param_PlanStartDate+217</f>
        <v/>
      </c>
      <c r="AQ5" s="51">
        <f>param_PlanStartDate+224</f>
        <v/>
      </c>
      <c r="AR5" s="51">
        <f>param_PlanStartDate+231</f>
        <v/>
      </c>
      <c r="AS5" s="51">
        <f>param_PlanStartDate+238</f>
        <v/>
      </c>
      <c r="AT5" s="51">
        <f>param_PlanStartDate+245</f>
        <v/>
      </c>
      <c r="AU5" s="51">
        <f>param_PlanStartDate+252</f>
        <v/>
      </c>
      <c r="AV5" s="51">
        <f>param_PlanStartDate+259</f>
        <v/>
      </c>
      <c r="AW5" s="51">
        <f>param_PlanStartDate+266</f>
        <v/>
      </c>
      <c r="AX5" s="51">
        <f>param_PlanStartDate+273</f>
        <v/>
      </c>
      <c r="AY5" s="51">
        <f>param_PlanStartDate+280</f>
        <v/>
      </c>
      <c r="AZ5" s="51">
        <f>param_PlanStartDate+287</f>
        <v/>
      </c>
      <c r="BA5" s="51">
        <f>param_PlanStartDate+294</f>
        <v/>
      </c>
      <c r="BB5" s="51">
        <f>param_PlanStartDate+301</f>
        <v/>
      </c>
      <c r="BC5" s="51">
        <f>param_PlanStartDate+308</f>
        <v/>
      </c>
      <c r="BD5" s="51">
        <f>param_PlanStartDate+315</f>
        <v/>
      </c>
      <c r="BE5" s="51">
        <f>param_PlanStartDate+322</f>
        <v/>
      </c>
      <c r="BF5" s="51">
        <f>param_PlanStartDate+329</f>
        <v/>
      </c>
      <c r="BG5" s="51">
        <f>param_PlanStartDate+336</f>
        <v/>
      </c>
      <c r="BH5" s="51">
        <f>param_PlanStartDate+343</f>
        <v/>
      </c>
      <c r="BI5" s="51">
        <f>param_PlanStartDate+350</f>
        <v/>
      </c>
      <c r="BJ5" s="51">
        <f>param_PlanStartDate+357</f>
        <v/>
      </c>
    </row>
    <row r="6" ht="14" customHeight="1">
      <c r="K6" s="8" t="inlineStr">
        <is>
          <t>Wk 1</t>
        </is>
      </c>
      <c r="L6" s="8" t="inlineStr">
        <is>
          <t>Wk 2</t>
        </is>
      </c>
      <c r="M6" s="8" t="inlineStr">
        <is>
          <t>Wk 3</t>
        </is>
      </c>
      <c r="N6" s="8" t="inlineStr">
        <is>
          <t>Wk 4</t>
        </is>
      </c>
      <c r="O6" s="8" t="inlineStr">
        <is>
          <t>Wk 5</t>
        </is>
      </c>
      <c r="P6" s="8" t="inlineStr">
        <is>
          <t>Wk 6</t>
        </is>
      </c>
      <c r="Q6" s="8" t="inlineStr">
        <is>
          <t>Wk 7</t>
        </is>
      </c>
      <c r="R6" s="8" t="inlineStr">
        <is>
          <t>Wk 8</t>
        </is>
      </c>
      <c r="S6" s="8" t="inlineStr">
        <is>
          <t>Wk 9</t>
        </is>
      </c>
      <c r="T6" s="8" t="inlineStr">
        <is>
          <t>Wk 10</t>
        </is>
      </c>
      <c r="U6" s="8" t="inlineStr">
        <is>
          <t>Wk 11</t>
        </is>
      </c>
      <c r="V6" s="8" t="inlineStr">
        <is>
          <t>Wk 12</t>
        </is>
      </c>
      <c r="W6" s="8" t="inlineStr">
        <is>
          <t>Wk 13</t>
        </is>
      </c>
      <c r="X6" s="8" t="inlineStr">
        <is>
          <t>Wk 14</t>
        </is>
      </c>
      <c r="Y6" s="8" t="inlineStr">
        <is>
          <t>Wk 15</t>
        </is>
      </c>
      <c r="Z6" s="8" t="inlineStr">
        <is>
          <t>Wk 16</t>
        </is>
      </c>
      <c r="AA6" s="8" t="inlineStr">
        <is>
          <t>Wk 17</t>
        </is>
      </c>
      <c r="AB6" s="8" t="inlineStr">
        <is>
          <t>Wk 18</t>
        </is>
      </c>
      <c r="AC6" s="8" t="inlineStr">
        <is>
          <t>Wk 19</t>
        </is>
      </c>
      <c r="AD6" s="8" t="inlineStr">
        <is>
          <t>Wk 20</t>
        </is>
      </c>
      <c r="AE6" s="8" t="inlineStr">
        <is>
          <t>Wk 21</t>
        </is>
      </c>
      <c r="AF6" s="8" t="inlineStr">
        <is>
          <t>Wk 22</t>
        </is>
      </c>
      <c r="AG6" s="8" t="inlineStr">
        <is>
          <t>Wk 23</t>
        </is>
      </c>
      <c r="AH6" s="8" t="inlineStr">
        <is>
          <t>Wk 24</t>
        </is>
      </c>
      <c r="AI6" s="8" t="inlineStr">
        <is>
          <t>Wk 25</t>
        </is>
      </c>
      <c r="AJ6" s="8" t="inlineStr">
        <is>
          <t>Wk 26</t>
        </is>
      </c>
      <c r="AK6" s="8" t="inlineStr">
        <is>
          <t>Wk 27</t>
        </is>
      </c>
      <c r="AL6" s="8" t="inlineStr">
        <is>
          <t>Wk 28</t>
        </is>
      </c>
      <c r="AM6" s="8" t="inlineStr">
        <is>
          <t>Wk 29</t>
        </is>
      </c>
      <c r="AN6" s="8" t="inlineStr">
        <is>
          <t>Wk 30</t>
        </is>
      </c>
      <c r="AO6" s="8" t="inlineStr">
        <is>
          <t>Wk 31</t>
        </is>
      </c>
      <c r="AP6" s="8" t="inlineStr">
        <is>
          <t>Wk 32</t>
        </is>
      </c>
      <c r="AQ6" s="8" t="inlineStr">
        <is>
          <t>Wk 33</t>
        </is>
      </c>
      <c r="AR6" s="8" t="inlineStr">
        <is>
          <t>Wk 34</t>
        </is>
      </c>
      <c r="AS6" s="8" t="inlineStr">
        <is>
          <t>Wk 35</t>
        </is>
      </c>
      <c r="AT6" s="8" t="inlineStr">
        <is>
          <t>Wk 36</t>
        </is>
      </c>
      <c r="AU6" s="8" t="inlineStr">
        <is>
          <t>Wk 37</t>
        </is>
      </c>
      <c r="AV6" s="8" t="inlineStr">
        <is>
          <t>Wk 38</t>
        </is>
      </c>
      <c r="AW6" s="8" t="inlineStr">
        <is>
          <t>Wk 39</t>
        </is>
      </c>
      <c r="AX6" s="8" t="inlineStr">
        <is>
          <t>Wk 40</t>
        </is>
      </c>
      <c r="AY6" s="8" t="inlineStr">
        <is>
          <t>Wk 41</t>
        </is>
      </c>
      <c r="AZ6" s="8" t="inlineStr">
        <is>
          <t>Wk 42</t>
        </is>
      </c>
      <c r="BA6" s="8" t="inlineStr">
        <is>
          <t>Wk 43</t>
        </is>
      </c>
      <c r="BB6" s="8" t="inlineStr">
        <is>
          <t>Wk 44</t>
        </is>
      </c>
      <c r="BC6" s="8" t="inlineStr">
        <is>
          <t>Wk 45</t>
        </is>
      </c>
      <c r="BD6" s="8" t="inlineStr">
        <is>
          <t>Wk 46</t>
        </is>
      </c>
      <c r="BE6" s="8" t="inlineStr">
        <is>
          <t>Wk 47</t>
        </is>
      </c>
      <c r="BF6" s="8" t="inlineStr">
        <is>
          <t>Wk 48</t>
        </is>
      </c>
      <c r="BG6" s="8" t="inlineStr">
        <is>
          <t>Wk 49</t>
        </is>
      </c>
      <c r="BH6" s="8" t="inlineStr">
        <is>
          <t>Wk 50</t>
        </is>
      </c>
      <c r="BI6" s="8" t="inlineStr">
        <is>
          <t>Wk 51</t>
        </is>
      </c>
      <c r="BJ6" s="8" t="inlineStr">
        <is>
          <t>Wk 52</t>
        </is>
      </c>
    </row>
    <row r="7" ht="16" customHeight="1">
      <c r="A7" s="9" t="inlineStr">
        <is>
          <t>C-1</t>
        </is>
      </c>
      <c r="B7" s="52" t="inlineStr">
        <is>
          <t>Cobb-500</t>
        </is>
      </c>
      <c r="C7" s="10" t="n"/>
      <c r="D7" s="11" t="n"/>
      <c r="E7" s="53">
        <f>"N/A (internal)"</f>
        <v/>
      </c>
      <c r="F7" s="38" t="n"/>
      <c r="G7" s="12">
        <f>IF($D7&gt;0,$C7+param_PS_RearingWeeks*7,"")</f>
        <v/>
      </c>
      <c r="H7" s="12">
        <f>IF($G7&lt;&gt;"",$G7+param_PS_PreLayWeeks*7,"")</f>
        <v/>
      </c>
      <c r="I7" s="12">
        <f>IF($H7&lt;&gt;"",$H7+param_PS_LayingWeeks*7,"")</f>
        <v/>
      </c>
      <c r="J7" s="13">
        <f>IF($D7&gt;0,ROUND($D7*(1-param_PS_RearingMortality)*(1-param_PS_PreLayMortality),0),0)</f>
        <v/>
      </c>
      <c r="K7" s="41">
        <f>IFERROR(IF(AND(K$5&gt;=$H7,K$5&lt;=$I7,$D7&gt;0),ROUND(J7*(1-param_PS_LayMortWeekly)^INT((K$5-$H7)/7)*(param_PS_CobbHDP/100)*7*param_PS_CobbSettableRatio,0),0),0)</f>
        <v/>
      </c>
      <c r="L7" s="41">
        <f>IFERROR(IF(AND(L$5&gt;=$H7,L$5&lt;=$I7,$D7&gt;0),ROUND(J7*(1-param_PS_LayMortWeekly)^INT((L$5-$H7)/7)*(param_PS_CobbHDP/100)*7*param_PS_CobbSettableRatio,0),0),0)</f>
        <v/>
      </c>
      <c r="M7" s="41">
        <f>IFERROR(IF(AND(M$5&gt;=$H7,M$5&lt;=$I7,$D7&gt;0),ROUND(J7*(1-param_PS_LayMortWeekly)^INT((M$5-$H7)/7)*(param_PS_CobbHDP/100)*7*param_PS_CobbSettableRatio,0),0),0)</f>
        <v/>
      </c>
      <c r="N7" s="41">
        <f>IFERROR(IF(AND(N$5&gt;=$H7,N$5&lt;=$I7,$D7&gt;0),ROUND(J7*(1-param_PS_LayMortWeekly)^INT((N$5-$H7)/7)*(param_PS_CobbHDP/100)*7*param_PS_CobbSettableRatio,0),0),0)</f>
        <v/>
      </c>
      <c r="O7" s="41">
        <f>IFERROR(IF(AND(O$5&gt;=$H7,O$5&lt;=$I7,$D7&gt;0),ROUND(J7*(1-param_PS_LayMortWeekly)^INT((O$5-$H7)/7)*(param_PS_CobbHDP/100)*7*param_PS_CobbSettableRatio,0),0),0)</f>
        <v/>
      </c>
      <c r="P7" s="41">
        <f>IFERROR(IF(AND(P$5&gt;=$H7,P$5&lt;=$I7,$D7&gt;0),ROUND(J7*(1-param_PS_LayMortWeekly)^INT((P$5-$H7)/7)*(param_PS_CobbHDP/100)*7*param_PS_CobbSettableRatio,0),0),0)</f>
        <v/>
      </c>
      <c r="Q7" s="41">
        <f>IFERROR(IF(AND(Q$5&gt;=$H7,Q$5&lt;=$I7,$D7&gt;0),ROUND(J7*(1-param_PS_LayMortWeekly)^INT((Q$5-$H7)/7)*(param_PS_CobbHDP/100)*7*param_PS_CobbSettableRatio,0),0),0)</f>
        <v/>
      </c>
      <c r="R7" s="41">
        <f>IFERROR(IF(AND(R$5&gt;=$H7,R$5&lt;=$I7,$D7&gt;0),ROUND(J7*(1-param_PS_LayMortWeekly)^INT((R$5-$H7)/7)*(param_PS_CobbHDP/100)*7*param_PS_CobbSettableRatio,0),0),0)</f>
        <v/>
      </c>
      <c r="S7" s="41">
        <f>IFERROR(IF(AND(S$5&gt;=$H7,S$5&lt;=$I7,$D7&gt;0),ROUND(J7*(1-param_PS_LayMortWeekly)^INT((S$5-$H7)/7)*(param_PS_CobbHDP/100)*7*param_PS_CobbSettableRatio,0),0),0)</f>
        <v/>
      </c>
      <c r="T7" s="41">
        <f>IFERROR(IF(AND(T$5&gt;=$H7,T$5&lt;=$I7,$D7&gt;0),ROUND(J7*(1-param_PS_LayMortWeekly)^INT((T$5-$H7)/7)*(param_PS_CobbHDP/100)*7*param_PS_CobbSettableRatio,0),0),0)</f>
        <v/>
      </c>
      <c r="U7" s="41">
        <f>IFERROR(IF(AND(U$5&gt;=$H7,U$5&lt;=$I7,$D7&gt;0),ROUND(J7*(1-param_PS_LayMortWeekly)^INT((U$5-$H7)/7)*(param_PS_CobbHDP/100)*7*param_PS_CobbSettableRatio,0),0),0)</f>
        <v/>
      </c>
      <c r="V7" s="41">
        <f>IFERROR(IF(AND(V$5&gt;=$H7,V$5&lt;=$I7,$D7&gt;0),ROUND(J7*(1-param_PS_LayMortWeekly)^INT((V$5-$H7)/7)*(param_PS_CobbHDP/100)*7*param_PS_CobbSettableRatio,0),0),0)</f>
        <v/>
      </c>
      <c r="W7" s="41">
        <f>IFERROR(IF(AND(W$5&gt;=$H7,W$5&lt;=$I7,$D7&gt;0),ROUND(J7*(1-param_PS_LayMortWeekly)^INT((W$5-$H7)/7)*(param_PS_CobbHDP/100)*7*param_PS_CobbSettableRatio,0),0),0)</f>
        <v/>
      </c>
      <c r="X7" s="41">
        <f>IFERROR(IF(AND(X$5&gt;=$H7,X$5&lt;=$I7,$D7&gt;0),ROUND(J7*(1-param_PS_LayMortWeekly)^INT((X$5-$H7)/7)*(param_PS_CobbHDP/100)*7*param_PS_CobbSettableRatio,0),0),0)</f>
        <v/>
      </c>
      <c r="Y7" s="41">
        <f>IFERROR(IF(AND(Y$5&gt;=$H7,Y$5&lt;=$I7,$D7&gt;0),ROUND(J7*(1-param_PS_LayMortWeekly)^INT((Y$5-$H7)/7)*(param_PS_CobbHDP/100)*7*param_PS_CobbSettableRatio,0),0),0)</f>
        <v/>
      </c>
      <c r="Z7" s="41">
        <f>IFERROR(IF(AND(Z$5&gt;=$H7,Z$5&lt;=$I7,$D7&gt;0),ROUND(J7*(1-param_PS_LayMortWeekly)^INT((Z$5-$H7)/7)*(param_PS_CobbHDP/100)*7*param_PS_CobbSettableRatio,0),0),0)</f>
        <v/>
      </c>
      <c r="AA7" s="41">
        <f>IFERROR(IF(AND(AA$5&gt;=$H7,AA$5&lt;=$I7,$D7&gt;0),ROUND(J7*(1-param_PS_LayMortWeekly)^INT((AA$5-$H7)/7)*(param_PS_CobbHDP/100)*7*param_PS_CobbSettableRatio,0),0),0)</f>
        <v/>
      </c>
      <c r="AB7" s="41">
        <f>IFERROR(IF(AND(AB$5&gt;=$H7,AB$5&lt;=$I7,$D7&gt;0),ROUND(J7*(1-param_PS_LayMortWeekly)^INT((AB$5-$H7)/7)*(param_PS_CobbHDP/100)*7*param_PS_CobbSettableRatio,0),0),0)</f>
        <v/>
      </c>
      <c r="AC7" s="41">
        <f>IFERROR(IF(AND(AC$5&gt;=$H7,AC$5&lt;=$I7,$D7&gt;0),ROUND(J7*(1-param_PS_LayMortWeekly)^INT((AC$5-$H7)/7)*(param_PS_CobbHDP/100)*7*param_PS_CobbSettableRatio,0),0),0)</f>
        <v/>
      </c>
      <c r="AD7" s="41">
        <f>IFERROR(IF(AND(AD$5&gt;=$H7,AD$5&lt;=$I7,$D7&gt;0),ROUND(J7*(1-param_PS_LayMortWeekly)^INT((AD$5-$H7)/7)*(param_PS_CobbHDP/100)*7*param_PS_CobbSettableRatio,0),0),0)</f>
        <v/>
      </c>
      <c r="AE7" s="41">
        <f>IFERROR(IF(AND(AE$5&gt;=$H7,AE$5&lt;=$I7,$D7&gt;0),ROUND(J7*(1-param_PS_LayMortWeekly)^INT((AE$5-$H7)/7)*(param_PS_CobbHDP/100)*7*param_PS_CobbSettableRatio,0),0),0)</f>
        <v/>
      </c>
      <c r="AF7" s="41">
        <f>IFERROR(IF(AND(AF$5&gt;=$H7,AF$5&lt;=$I7,$D7&gt;0),ROUND(J7*(1-param_PS_LayMortWeekly)^INT((AF$5-$H7)/7)*(param_PS_CobbHDP/100)*7*param_PS_CobbSettableRatio,0),0),0)</f>
        <v/>
      </c>
      <c r="AG7" s="41">
        <f>IFERROR(IF(AND(AG$5&gt;=$H7,AG$5&lt;=$I7,$D7&gt;0),ROUND(J7*(1-param_PS_LayMortWeekly)^INT((AG$5-$H7)/7)*(param_PS_CobbHDP/100)*7*param_PS_CobbSettableRatio,0),0),0)</f>
        <v/>
      </c>
      <c r="AH7" s="41">
        <f>IFERROR(IF(AND(AH$5&gt;=$H7,AH$5&lt;=$I7,$D7&gt;0),ROUND(J7*(1-param_PS_LayMortWeekly)^INT((AH$5-$H7)/7)*(param_PS_CobbHDP/100)*7*param_PS_CobbSettableRatio,0),0),0)</f>
        <v/>
      </c>
      <c r="AI7" s="41">
        <f>IFERROR(IF(AND(AI$5&gt;=$H7,AI$5&lt;=$I7,$D7&gt;0),ROUND(J7*(1-param_PS_LayMortWeekly)^INT((AI$5-$H7)/7)*(param_PS_CobbHDP/100)*7*param_PS_CobbSettableRatio,0),0),0)</f>
        <v/>
      </c>
      <c r="AJ7" s="41">
        <f>IFERROR(IF(AND(AJ$5&gt;=$H7,AJ$5&lt;=$I7,$D7&gt;0),ROUND(J7*(1-param_PS_LayMortWeekly)^INT((AJ$5-$H7)/7)*(param_PS_CobbHDP/100)*7*param_PS_CobbSettableRatio,0),0),0)</f>
        <v/>
      </c>
      <c r="AK7" s="41">
        <f>IFERROR(IF(AND(AK$5&gt;=$H7,AK$5&lt;=$I7,$D7&gt;0),ROUND(J7*(1-param_PS_LayMortWeekly)^INT((AK$5-$H7)/7)*(param_PS_CobbHDP/100)*7*param_PS_CobbSettableRatio,0),0),0)</f>
        <v/>
      </c>
      <c r="AL7" s="41">
        <f>IFERROR(IF(AND(AL$5&gt;=$H7,AL$5&lt;=$I7,$D7&gt;0),ROUND(J7*(1-param_PS_LayMortWeekly)^INT((AL$5-$H7)/7)*(param_PS_CobbHDP/100)*7*param_PS_CobbSettableRatio,0),0),0)</f>
        <v/>
      </c>
      <c r="AM7" s="41">
        <f>IFERROR(IF(AND(AM$5&gt;=$H7,AM$5&lt;=$I7,$D7&gt;0),ROUND(J7*(1-param_PS_LayMortWeekly)^INT((AM$5-$H7)/7)*(param_PS_CobbHDP/100)*7*param_PS_CobbSettableRatio,0),0),0)</f>
        <v/>
      </c>
      <c r="AN7" s="41">
        <f>IFERROR(IF(AND(AN$5&gt;=$H7,AN$5&lt;=$I7,$D7&gt;0),ROUND(J7*(1-param_PS_LayMortWeekly)^INT((AN$5-$H7)/7)*(param_PS_CobbHDP/100)*7*param_PS_CobbSettableRatio,0),0),0)</f>
        <v/>
      </c>
      <c r="AO7" s="41">
        <f>IFERROR(IF(AND(AO$5&gt;=$H7,AO$5&lt;=$I7,$D7&gt;0),ROUND(J7*(1-param_PS_LayMortWeekly)^INT((AO$5-$H7)/7)*(param_PS_CobbHDP/100)*7*param_PS_CobbSettableRatio,0),0),0)</f>
        <v/>
      </c>
      <c r="AP7" s="41">
        <f>IFERROR(IF(AND(AP$5&gt;=$H7,AP$5&lt;=$I7,$D7&gt;0),ROUND(J7*(1-param_PS_LayMortWeekly)^INT((AP$5-$H7)/7)*(param_PS_CobbHDP/100)*7*param_PS_CobbSettableRatio,0),0),0)</f>
        <v/>
      </c>
      <c r="AQ7" s="41">
        <f>IFERROR(IF(AND(AQ$5&gt;=$H7,AQ$5&lt;=$I7,$D7&gt;0),ROUND(J7*(1-param_PS_LayMortWeekly)^INT((AQ$5-$H7)/7)*(param_PS_CobbHDP/100)*7*param_PS_CobbSettableRatio,0),0),0)</f>
        <v/>
      </c>
      <c r="AR7" s="41">
        <f>IFERROR(IF(AND(AR$5&gt;=$H7,AR$5&lt;=$I7,$D7&gt;0),ROUND(J7*(1-param_PS_LayMortWeekly)^INT((AR$5-$H7)/7)*(param_PS_CobbHDP/100)*7*param_PS_CobbSettableRatio,0),0),0)</f>
        <v/>
      </c>
      <c r="AS7" s="41">
        <f>IFERROR(IF(AND(AS$5&gt;=$H7,AS$5&lt;=$I7,$D7&gt;0),ROUND(J7*(1-param_PS_LayMortWeekly)^INT((AS$5-$H7)/7)*(param_PS_CobbHDP/100)*7*param_PS_CobbSettableRatio,0),0),0)</f>
        <v/>
      </c>
      <c r="AT7" s="41">
        <f>IFERROR(IF(AND(AT$5&gt;=$H7,AT$5&lt;=$I7,$D7&gt;0),ROUND(J7*(1-param_PS_LayMortWeekly)^INT((AT$5-$H7)/7)*(param_PS_CobbHDP/100)*7*param_PS_CobbSettableRatio,0),0),0)</f>
        <v/>
      </c>
      <c r="AU7" s="41">
        <f>IFERROR(IF(AND(AU$5&gt;=$H7,AU$5&lt;=$I7,$D7&gt;0),ROUND(J7*(1-param_PS_LayMortWeekly)^INT((AU$5-$H7)/7)*(param_PS_CobbHDP/100)*7*param_PS_CobbSettableRatio,0),0),0)</f>
        <v/>
      </c>
      <c r="AV7" s="41">
        <f>IFERROR(IF(AND(AV$5&gt;=$H7,AV$5&lt;=$I7,$D7&gt;0),ROUND(J7*(1-param_PS_LayMortWeekly)^INT((AV$5-$H7)/7)*(param_PS_CobbHDP/100)*7*param_PS_CobbSettableRatio,0),0),0)</f>
        <v/>
      </c>
      <c r="AW7" s="41">
        <f>IFERROR(IF(AND(AW$5&gt;=$H7,AW$5&lt;=$I7,$D7&gt;0),ROUND(J7*(1-param_PS_LayMortWeekly)^INT((AW$5-$H7)/7)*(param_PS_CobbHDP/100)*7*param_PS_CobbSettableRatio,0),0),0)</f>
        <v/>
      </c>
      <c r="AX7" s="41">
        <f>IFERROR(IF(AND(AX$5&gt;=$H7,AX$5&lt;=$I7,$D7&gt;0),ROUND(J7*(1-param_PS_LayMortWeekly)^INT((AX$5-$H7)/7)*(param_PS_CobbHDP/100)*7*param_PS_CobbSettableRatio,0),0),0)</f>
        <v/>
      </c>
      <c r="AY7" s="41">
        <f>IFERROR(IF(AND(AY$5&gt;=$H7,AY$5&lt;=$I7,$D7&gt;0),ROUND(J7*(1-param_PS_LayMortWeekly)^INT((AY$5-$H7)/7)*(param_PS_CobbHDP/100)*7*param_PS_CobbSettableRatio,0),0),0)</f>
        <v/>
      </c>
      <c r="AZ7" s="41">
        <f>IFERROR(IF(AND(AZ$5&gt;=$H7,AZ$5&lt;=$I7,$D7&gt;0),ROUND(J7*(1-param_PS_LayMortWeekly)^INT((AZ$5-$H7)/7)*(param_PS_CobbHDP/100)*7*param_PS_CobbSettableRatio,0),0),0)</f>
        <v/>
      </c>
      <c r="BA7" s="41">
        <f>IFERROR(IF(AND(BA$5&gt;=$H7,BA$5&lt;=$I7,$D7&gt;0),ROUND(J7*(1-param_PS_LayMortWeekly)^INT((BA$5-$H7)/7)*(param_PS_CobbHDP/100)*7*param_PS_CobbSettableRatio,0),0),0)</f>
        <v/>
      </c>
      <c r="BB7" s="41">
        <f>IFERROR(IF(AND(BB$5&gt;=$H7,BB$5&lt;=$I7,$D7&gt;0),ROUND(J7*(1-param_PS_LayMortWeekly)^INT((BB$5-$H7)/7)*(param_PS_CobbHDP/100)*7*param_PS_CobbSettableRatio,0),0),0)</f>
        <v/>
      </c>
      <c r="BC7" s="41">
        <f>IFERROR(IF(AND(BC$5&gt;=$H7,BC$5&lt;=$I7,$D7&gt;0),ROUND(J7*(1-param_PS_LayMortWeekly)^INT((BC$5-$H7)/7)*(param_PS_CobbHDP/100)*7*param_PS_CobbSettableRatio,0),0),0)</f>
        <v/>
      </c>
      <c r="BD7" s="41">
        <f>IFERROR(IF(AND(BD$5&gt;=$H7,BD$5&lt;=$I7,$D7&gt;0),ROUND(J7*(1-param_PS_LayMortWeekly)^INT((BD$5-$H7)/7)*(param_PS_CobbHDP/100)*7*param_PS_CobbSettableRatio,0),0),0)</f>
        <v/>
      </c>
      <c r="BE7" s="41">
        <f>IFERROR(IF(AND(BE$5&gt;=$H7,BE$5&lt;=$I7,$D7&gt;0),ROUND(J7*(1-param_PS_LayMortWeekly)^INT((BE$5-$H7)/7)*(param_PS_CobbHDP/100)*7*param_PS_CobbSettableRatio,0),0),0)</f>
        <v/>
      </c>
      <c r="BF7" s="41">
        <f>IFERROR(IF(AND(BF$5&gt;=$H7,BF$5&lt;=$I7,$D7&gt;0),ROUND(J7*(1-param_PS_LayMortWeekly)^INT((BF$5-$H7)/7)*(param_PS_CobbHDP/100)*7*param_PS_CobbSettableRatio,0),0),0)</f>
        <v/>
      </c>
      <c r="BG7" s="41">
        <f>IFERROR(IF(AND(BG$5&gt;=$H7,BG$5&lt;=$I7,$D7&gt;0),ROUND(J7*(1-param_PS_LayMortWeekly)^INT((BG$5-$H7)/7)*(param_PS_CobbHDP/100)*7*param_PS_CobbSettableRatio,0),0),0)</f>
        <v/>
      </c>
      <c r="BH7" s="41">
        <f>IFERROR(IF(AND(BH$5&gt;=$H7,BH$5&lt;=$I7,$D7&gt;0),ROUND(J7*(1-param_PS_LayMortWeekly)^INT((BH$5-$H7)/7)*(param_PS_CobbHDP/100)*7*param_PS_CobbSettableRatio,0),0),0)</f>
        <v/>
      </c>
      <c r="BI7" s="41">
        <f>IFERROR(IF(AND(BI$5&gt;=$H7,BI$5&lt;=$I7,$D7&gt;0),ROUND(J7*(1-param_PS_LayMortWeekly)^INT((BI$5-$H7)/7)*(param_PS_CobbHDP/100)*7*param_PS_CobbSettableRatio,0),0),0)</f>
        <v/>
      </c>
      <c r="BJ7" s="41">
        <f>IFERROR(IF(AND(BJ$5&gt;=$H7,BJ$5&lt;=$I7,$D7&gt;0),ROUND(J7*(1-param_PS_LayMortWeekly)^INT((BJ$5-$H7)/7)*(param_PS_CobbHDP/100)*7*param_PS_CobbSettableRatio,0),0),0)</f>
        <v/>
      </c>
    </row>
    <row r="8" ht="16" customHeight="1">
      <c r="A8" s="9" t="inlineStr">
        <is>
          <t>C-2</t>
        </is>
      </c>
      <c r="B8" s="52" t="inlineStr">
        <is>
          <t>Cobb-500</t>
        </is>
      </c>
      <c r="C8" s="10" t="n"/>
      <c r="D8" s="11" t="n"/>
      <c r="E8" s="53">
        <f>"N/A (internal)"</f>
        <v/>
      </c>
      <c r="F8" s="38" t="n"/>
      <c r="G8" s="12">
        <f>IF($D8&gt;0,$C8+param_PS_RearingWeeks*7,"")</f>
        <v/>
      </c>
      <c r="H8" s="12">
        <f>IF($G8&lt;&gt;"",$G8+param_PS_PreLayWeeks*7,"")</f>
        <v/>
      </c>
      <c r="I8" s="12">
        <f>IF($H8&lt;&gt;"",$H8+param_PS_LayingWeeks*7,"")</f>
        <v/>
      </c>
      <c r="J8" s="13">
        <f>IF($D8&gt;0,ROUND($D8*(1-param_PS_RearingMortality)*(1-param_PS_PreLayMortality),0),0)</f>
        <v/>
      </c>
      <c r="K8" s="41">
        <f>IFERROR(IF(AND(K$5&gt;=$H8,K$5&lt;=$I8,$D8&gt;0),ROUND(J8*(1-param_PS_LayMortWeekly)^INT((K$5-$H8)/7)*(param_PS_CobbHDP/100)*7*param_PS_CobbSettableRatio,0),0),0)</f>
        <v/>
      </c>
      <c r="L8" s="41">
        <f>IFERROR(IF(AND(L$5&gt;=$H8,L$5&lt;=$I8,$D8&gt;0),ROUND(J8*(1-param_PS_LayMortWeekly)^INT((L$5-$H8)/7)*(param_PS_CobbHDP/100)*7*param_PS_CobbSettableRatio,0),0),0)</f>
        <v/>
      </c>
      <c r="M8" s="41">
        <f>IFERROR(IF(AND(M$5&gt;=$H8,M$5&lt;=$I8,$D8&gt;0),ROUND(J8*(1-param_PS_LayMortWeekly)^INT((M$5-$H8)/7)*(param_PS_CobbHDP/100)*7*param_PS_CobbSettableRatio,0),0),0)</f>
        <v/>
      </c>
      <c r="N8" s="41">
        <f>IFERROR(IF(AND(N$5&gt;=$H8,N$5&lt;=$I8,$D8&gt;0),ROUND(J8*(1-param_PS_LayMortWeekly)^INT((N$5-$H8)/7)*(param_PS_CobbHDP/100)*7*param_PS_CobbSettableRatio,0),0),0)</f>
        <v/>
      </c>
      <c r="O8" s="41">
        <f>IFERROR(IF(AND(O$5&gt;=$H8,O$5&lt;=$I8,$D8&gt;0),ROUND(J8*(1-param_PS_LayMortWeekly)^INT((O$5-$H8)/7)*(param_PS_CobbHDP/100)*7*param_PS_CobbSettableRatio,0),0),0)</f>
        <v/>
      </c>
      <c r="P8" s="41">
        <f>IFERROR(IF(AND(P$5&gt;=$H8,P$5&lt;=$I8,$D8&gt;0),ROUND(J8*(1-param_PS_LayMortWeekly)^INT((P$5-$H8)/7)*(param_PS_CobbHDP/100)*7*param_PS_CobbSettableRatio,0),0),0)</f>
        <v/>
      </c>
      <c r="Q8" s="41">
        <f>IFERROR(IF(AND(Q$5&gt;=$H8,Q$5&lt;=$I8,$D8&gt;0),ROUND(J8*(1-param_PS_LayMortWeekly)^INT((Q$5-$H8)/7)*(param_PS_CobbHDP/100)*7*param_PS_CobbSettableRatio,0),0),0)</f>
        <v/>
      </c>
      <c r="R8" s="41">
        <f>IFERROR(IF(AND(R$5&gt;=$H8,R$5&lt;=$I8,$D8&gt;0),ROUND(J8*(1-param_PS_LayMortWeekly)^INT((R$5-$H8)/7)*(param_PS_CobbHDP/100)*7*param_PS_CobbSettableRatio,0),0),0)</f>
        <v/>
      </c>
      <c r="S8" s="41">
        <f>IFERROR(IF(AND(S$5&gt;=$H8,S$5&lt;=$I8,$D8&gt;0),ROUND(J8*(1-param_PS_LayMortWeekly)^INT((S$5-$H8)/7)*(param_PS_CobbHDP/100)*7*param_PS_CobbSettableRatio,0),0),0)</f>
        <v/>
      </c>
      <c r="T8" s="41">
        <f>IFERROR(IF(AND(T$5&gt;=$H8,T$5&lt;=$I8,$D8&gt;0),ROUND(J8*(1-param_PS_LayMortWeekly)^INT((T$5-$H8)/7)*(param_PS_CobbHDP/100)*7*param_PS_CobbSettableRatio,0),0),0)</f>
        <v/>
      </c>
      <c r="U8" s="41">
        <f>IFERROR(IF(AND(U$5&gt;=$H8,U$5&lt;=$I8,$D8&gt;0),ROUND(J8*(1-param_PS_LayMortWeekly)^INT((U$5-$H8)/7)*(param_PS_CobbHDP/100)*7*param_PS_CobbSettableRatio,0),0),0)</f>
        <v/>
      </c>
      <c r="V8" s="41">
        <f>IFERROR(IF(AND(V$5&gt;=$H8,V$5&lt;=$I8,$D8&gt;0),ROUND(J8*(1-param_PS_LayMortWeekly)^INT((V$5-$H8)/7)*(param_PS_CobbHDP/100)*7*param_PS_CobbSettableRatio,0),0),0)</f>
        <v/>
      </c>
      <c r="W8" s="41">
        <f>IFERROR(IF(AND(W$5&gt;=$H8,W$5&lt;=$I8,$D8&gt;0),ROUND(J8*(1-param_PS_LayMortWeekly)^INT((W$5-$H8)/7)*(param_PS_CobbHDP/100)*7*param_PS_CobbSettableRatio,0),0),0)</f>
        <v/>
      </c>
      <c r="X8" s="41">
        <f>IFERROR(IF(AND(X$5&gt;=$H8,X$5&lt;=$I8,$D8&gt;0),ROUND(J8*(1-param_PS_LayMortWeekly)^INT((X$5-$H8)/7)*(param_PS_CobbHDP/100)*7*param_PS_CobbSettableRatio,0),0),0)</f>
        <v/>
      </c>
      <c r="Y8" s="41">
        <f>IFERROR(IF(AND(Y$5&gt;=$H8,Y$5&lt;=$I8,$D8&gt;0),ROUND(J8*(1-param_PS_LayMortWeekly)^INT((Y$5-$H8)/7)*(param_PS_CobbHDP/100)*7*param_PS_CobbSettableRatio,0),0),0)</f>
        <v/>
      </c>
      <c r="Z8" s="41">
        <f>IFERROR(IF(AND(Z$5&gt;=$H8,Z$5&lt;=$I8,$D8&gt;0),ROUND(J8*(1-param_PS_LayMortWeekly)^INT((Z$5-$H8)/7)*(param_PS_CobbHDP/100)*7*param_PS_CobbSettableRatio,0),0),0)</f>
        <v/>
      </c>
      <c r="AA8" s="41">
        <f>IFERROR(IF(AND(AA$5&gt;=$H8,AA$5&lt;=$I8,$D8&gt;0),ROUND(J8*(1-param_PS_LayMortWeekly)^INT((AA$5-$H8)/7)*(param_PS_CobbHDP/100)*7*param_PS_CobbSettableRatio,0),0),0)</f>
        <v/>
      </c>
      <c r="AB8" s="41">
        <f>IFERROR(IF(AND(AB$5&gt;=$H8,AB$5&lt;=$I8,$D8&gt;0),ROUND(J8*(1-param_PS_LayMortWeekly)^INT((AB$5-$H8)/7)*(param_PS_CobbHDP/100)*7*param_PS_CobbSettableRatio,0),0),0)</f>
        <v/>
      </c>
      <c r="AC8" s="41">
        <f>IFERROR(IF(AND(AC$5&gt;=$H8,AC$5&lt;=$I8,$D8&gt;0),ROUND(J8*(1-param_PS_LayMortWeekly)^INT((AC$5-$H8)/7)*(param_PS_CobbHDP/100)*7*param_PS_CobbSettableRatio,0),0),0)</f>
        <v/>
      </c>
      <c r="AD8" s="41">
        <f>IFERROR(IF(AND(AD$5&gt;=$H8,AD$5&lt;=$I8,$D8&gt;0),ROUND(J8*(1-param_PS_LayMortWeekly)^INT((AD$5-$H8)/7)*(param_PS_CobbHDP/100)*7*param_PS_CobbSettableRatio,0),0),0)</f>
        <v/>
      </c>
      <c r="AE8" s="41">
        <f>IFERROR(IF(AND(AE$5&gt;=$H8,AE$5&lt;=$I8,$D8&gt;0),ROUND(J8*(1-param_PS_LayMortWeekly)^INT((AE$5-$H8)/7)*(param_PS_CobbHDP/100)*7*param_PS_CobbSettableRatio,0),0),0)</f>
        <v/>
      </c>
      <c r="AF8" s="41">
        <f>IFERROR(IF(AND(AF$5&gt;=$H8,AF$5&lt;=$I8,$D8&gt;0),ROUND(J8*(1-param_PS_LayMortWeekly)^INT((AF$5-$H8)/7)*(param_PS_CobbHDP/100)*7*param_PS_CobbSettableRatio,0),0),0)</f>
        <v/>
      </c>
      <c r="AG8" s="41">
        <f>IFERROR(IF(AND(AG$5&gt;=$H8,AG$5&lt;=$I8,$D8&gt;0),ROUND(J8*(1-param_PS_LayMortWeekly)^INT((AG$5-$H8)/7)*(param_PS_CobbHDP/100)*7*param_PS_CobbSettableRatio,0),0),0)</f>
        <v/>
      </c>
      <c r="AH8" s="41">
        <f>IFERROR(IF(AND(AH$5&gt;=$H8,AH$5&lt;=$I8,$D8&gt;0),ROUND(J8*(1-param_PS_LayMortWeekly)^INT((AH$5-$H8)/7)*(param_PS_CobbHDP/100)*7*param_PS_CobbSettableRatio,0),0),0)</f>
        <v/>
      </c>
      <c r="AI8" s="41">
        <f>IFERROR(IF(AND(AI$5&gt;=$H8,AI$5&lt;=$I8,$D8&gt;0),ROUND(J8*(1-param_PS_LayMortWeekly)^INT((AI$5-$H8)/7)*(param_PS_CobbHDP/100)*7*param_PS_CobbSettableRatio,0),0),0)</f>
        <v/>
      </c>
      <c r="AJ8" s="41">
        <f>IFERROR(IF(AND(AJ$5&gt;=$H8,AJ$5&lt;=$I8,$D8&gt;0),ROUND(J8*(1-param_PS_LayMortWeekly)^INT((AJ$5-$H8)/7)*(param_PS_CobbHDP/100)*7*param_PS_CobbSettableRatio,0),0),0)</f>
        <v/>
      </c>
      <c r="AK8" s="41">
        <f>IFERROR(IF(AND(AK$5&gt;=$H8,AK$5&lt;=$I8,$D8&gt;0),ROUND(J8*(1-param_PS_LayMortWeekly)^INT((AK$5-$H8)/7)*(param_PS_CobbHDP/100)*7*param_PS_CobbSettableRatio,0),0),0)</f>
        <v/>
      </c>
      <c r="AL8" s="41">
        <f>IFERROR(IF(AND(AL$5&gt;=$H8,AL$5&lt;=$I8,$D8&gt;0),ROUND(J8*(1-param_PS_LayMortWeekly)^INT((AL$5-$H8)/7)*(param_PS_CobbHDP/100)*7*param_PS_CobbSettableRatio,0),0),0)</f>
        <v/>
      </c>
      <c r="AM8" s="41">
        <f>IFERROR(IF(AND(AM$5&gt;=$H8,AM$5&lt;=$I8,$D8&gt;0),ROUND(J8*(1-param_PS_LayMortWeekly)^INT((AM$5-$H8)/7)*(param_PS_CobbHDP/100)*7*param_PS_CobbSettableRatio,0),0),0)</f>
        <v/>
      </c>
      <c r="AN8" s="41">
        <f>IFERROR(IF(AND(AN$5&gt;=$H8,AN$5&lt;=$I8,$D8&gt;0),ROUND(J8*(1-param_PS_LayMortWeekly)^INT((AN$5-$H8)/7)*(param_PS_CobbHDP/100)*7*param_PS_CobbSettableRatio,0),0),0)</f>
        <v/>
      </c>
      <c r="AO8" s="41">
        <f>IFERROR(IF(AND(AO$5&gt;=$H8,AO$5&lt;=$I8,$D8&gt;0),ROUND(J8*(1-param_PS_LayMortWeekly)^INT((AO$5-$H8)/7)*(param_PS_CobbHDP/100)*7*param_PS_CobbSettableRatio,0),0),0)</f>
        <v/>
      </c>
      <c r="AP8" s="41">
        <f>IFERROR(IF(AND(AP$5&gt;=$H8,AP$5&lt;=$I8,$D8&gt;0),ROUND(J8*(1-param_PS_LayMortWeekly)^INT((AP$5-$H8)/7)*(param_PS_CobbHDP/100)*7*param_PS_CobbSettableRatio,0),0),0)</f>
        <v/>
      </c>
      <c r="AQ8" s="41">
        <f>IFERROR(IF(AND(AQ$5&gt;=$H8,AQ$5&lt;=$I8,$D8&gt;0),ROUND(J8*(1-param_PS_LayMortWeekly)^INT((AQ$5-$H8)/7)*(param_PS_CobbHDP/100)*7*param_PS_CobbSettableRatio,0),0),0)</f>
        <v/>
      </c>
      <c r="AR8" s="41">
        <f>IFERROR(IF(AND(AR$5&gt;=$H8,AR$5&lt;=$I8,$D8&gt;0),ROUND(J8*(1-param_PS_LayMortWeekly)^INT((AR$5-$H8)/7)*(param_PS_CobbHDP/100)*7*param_PS_CobbSettableRatio,0),0),0)</f>
        <v/>
      </c>
      <c r="AS8" s="41">
        <f>IFERROR(IF(AND(AS$5&gt;=$H8,AS$5&lt;=$I8,$D8&gt;0),ROUND(J8*(1-param_PS_LayMortWeekly)^INT((AS$5-$H8)/7)*(param_PS_CobbHDP/100)*7*param_PS_CobbSettableRatio,0),0),0)</f>
        <v/>
      </c>
      <c r="AT8" s="41">
        <f>IFERROR(IF(AND(AT$5&gt;=$H8,AT$5&lt;=$I8,$D8&gt;0),ROUND(J8*(1-param_PS_LayMortWeekly)^INT((AT$5-$H8)/7)*(param_PS_CobbHDP/100)*7*param_PS_CobbSettableRatio,0),0),0)</f>
        <v/>
      </c>
      <c r="AU8" s="41">
        <f>IFERROR(IF(AND(AU$5&gt;=$H8,AU$5&lt;=$I8,$D8&gt;0),ROUND(J8*(1-param_PS_LayMortWeekly)^INT((AU$5-$H8)/7)*(param_PS_CobbHDP/100)*7*param_PS_CobbSettableRatio,0),0),0)</f>
        <v/>
      </c>
      <c r="AV8" s="41">
        <f>IFERROR(IF(AND(AV$5&gt;=$H8,AV$5&lt;=$I8,$D8&gt;0),ROUND(J8*(1-param_PS_LayMortWeekly)^INT((AV$5-$H8)/7)*(param_PS_CobbHDP/100)*7*param_PS_CobbSettableRatio,0),0),0)</f>
        <v/>
      </c>
      <c r="AW8" s="41">
        <f>IFERROR(IF(AND(AW$5&gt;=$H8,AW$5&lt;=$I8,$D8&gt;0),ROUND(J8*(1-param_PS_LayMortWeekly)^INT((AW$5-$H8)/7)*(param_PS_CobbHDP/100)*7*param_PS_CobbSettableRatio,0),0),0)</f>
        <v/>
      </c>
      <c r="AX8" s="41">
        <f>IFERROR(IF(AND(AX$5&gt;=$H8,AX$5&lt;=$I8,$D8&gt;0),ROUND(J8*(1-param_PS_LayMortWeekly)^INT((AX$5-$H8)/7)*(param_PS_CobbHDP/100)*7*param_PS_CobbSettableRatio,0),0),0)</f>
        <v/>
      </c>
      <c r="AY8" s="41">
        <f>IFERROR(IF(AND(AY$5&gt;=$H8,AY$5&lt;=$I8,$D8&gt;0),ROUND(J8*(1-param_PS_LayMortWeekly)^INT((AY$5-$H8)/7)*(param_PS_CobbHDP/100)*7*param_PS_CobbSettableRatio,0),0),0)</f>
        <v/>
      </c>
      <c r="AZ8" s="41">
        <f>IFERROR(IF(AND(AZ$5&gt;=$H8,AZ$5&lt;=$I8,$D8&gt;0),ROUND(J8*(1-param_PS_LayMortWeekly)^INT((AZ$5-$H8)/7)*(param_PS_CobbHDP/100)*7*param_PS_CobbSettableRatio,0),0),0)</f>
        <v/>
      </c>
      <c r="BA8" s="41">
        <f>IFERROR(IF(AND(BA$5&gt;=$H8,BA$5&lt;=$I8,$D8&gt;0),ROUND(J8*(1-param_PS_LayMortWeekly)^INT((BA$5-$H8)/7)*(param_PS_CobbHDP/100)*7*param_PS_CobbSettableRatio,0),0),0)</f>
        <v/>
      </c>
      <c r="BB8" s="41">
        <f>IFERROR(IF(AND(BB$5&gt;=$H8,BB$5&lt;=$I8,$D8&gt;0),ROUND(J8*(1-param_PS_LayMortWeekly)^INT((BB$5-$H8)/7)*(param_PS_CobbHDP/100)*7*param_PS_CobbSettableRatio,0),0),0)</f>
        <v/>
      </c>
      <c r="BC8" s="41">
        <f>IFERROR(IF(AND(BC$5&gt;=$H8,BC$5&lt;=$I8,$D8&gt;0),ROUND(J8*(1-param_PS_LayMortWeekly)^INT((BC$5-$H8)/7)*(param_PS_CobbHDP/100)*7*param_PS_CobbSettableRatio,0),0),0)</f>
        <v/>
      </c>
      <c r="BD8" s="41">
        <f>IFERROR(IF(AND(BD$5&gt;=$H8,BD$5&lt;=$I8,$D8&gt;0),ROUND(J8*(1-param_PS_LayMortWeekly)^INT((BD$5-$H8)/7)*(param_PS_CobbHDP/100)*7*param_PS_CobbSettableRatio,0),0),0)</f>
        <v/>
      </c>
      <c r="BE8" s="41">
        <f>IFERROR(IF(AND(BE$5&gt;=$H8,BE$5&lt;=$I8,$D8&gt;0),ROUND(J8*(1-param_PS_LayMortWeekly)^INT((BE$5-$H8)/7)*(param_PS_CobbHDP/100)*7*param_PS_CobbSettableRatio,0),0),0)</f>
        <v/>
      </c>
      <c r="BF8" s="41">
        <f>IFERROR(IF(AND(BF$5&gt;=$H8,BF$5&lt;=$I8,$D8&gt;0),ROUND(J8*(1-param_PS_LayMortWeekly)^INT((BF$5-$H8)/7)*(param_PS_CobbHDP/100)*7*param_PS_CobbSettableRatio,0),0),0)</f>
        <v/>
      </c>
      <c r="BG8" s="41">
        <f>IFERROR(IF(AND(BG$5&gt;=$H8,BG$5&lt;=$I8,$D8&gt;0),ROUND(J8*(1-param_PS_LayMortWeekly)^INT((BG$5-$H8)/7)*(param_PS_CobbHDP/100)*7*param_PS_CobbSettableRatio,0),0),0)</f>
        <v/>
      </c>
      <c r="BH8" s="41">
        <f>IFERROR(IF(AND(BH$5&gt;=$H8,BH$5&lt;=$I8,$D8&gt;0),ROUND(J8*(1-param_PS_LayMortWeekly)^INT((BH$5-$H8)/7)*(param_PS_CobbHDP/100)*7*param_PS_CobbSettableRatio,0),0),0)</f>
        <v/>
      </c>
      <c r="BI8" s="41">
        <f>IFERROR(IF(AND(BI$5&gt;=$H8,BI$5&lt;=$I8,$D8&gt;0),ROUND(J8*(1-param_PS_LayMortWeekly)^INT((BI$5-$H8)/7)*(param_PS_CobbHDP/100)*7*param_PS_CobbSettableRatio,0),0),0)</f>
        <v/>
      </c>
      <c r="BJ8" s="41">
        <f>IFERROR(IF(AND(BJ$5&gt;=$H8,BJ$5&lt;=$I8,$D8&gt;0),ROUND(J8*(1-param_PS_LayMortWeekly)^INT((BJ$5-$H8)/7)*(param_PS_CobbHDP/100)*7*param_PS_CobbSettableRatio,0),0),0)</f>
        <v/>
      </c>
    </row>
    <row r="9" ht="16" customHeight="1">
      <c r="A9" s="9" t="inlineStr">
        <is>
          <t>C-3</t>
        </is>
      </c>
      <c r="B9" s="52" t="inlineStr">
        <is>
          <t>Cobb-500</t>
        </is>
      </c>
      <c r="C9" s="10" t="n"/>
      <c r="D9" s="11" t="n"/>
      <c r="E9" s="53">
        <f>"N/A (internal)"</f>
        <v/>
      </c>
      <c r="F9" s="38" t="n"/>
      <c r="G9" s="12">
        <f>IF($D9&gt;0,$C9+param_PS_RearingWeeks*7,"")</f>
        <v/>
      </c>
      <c r="H9" s="12">
        <f>IF($G9&lt;&gt;"",$G9+param_PS_PreLayWeeks*7,"")</f>
        <v/>
      </c>
      <c r="I9" s="12">
        <f>IF($H9&lt;&gt;"",$H9+param_PS_LayingWeeks*7,"")</f>
        <v/>
      </c>
      <c r="J9" s="13">
        <f>IF($D9&gt;0,ROUND($D9*(1-param_PS_RearingMortality)*(1-param_PS_PreLayMortality),0),0)</f>
        <v/>
      </c>
      <c r="K9" s="41">
        <f>IFERROR(IF(AND(K$5&gt;=$H9,K$5&lt;=$I9,$D9&gt;0),ROUND(J9*(1-param_PS_LayMortWeekly)^INT((K$5-$H9)/7)*(param_PS_CobbHDP/100)*7*param_PS_CobbSettableRatio,0),0),0)</f>
        <v/>
      </c>
      <c r="L9" s="41">
        <f>IFERROR(IF(AND(L$5&gt;=$H9,L$5&lt;=$I9,$D9&gt;0),ROUND(J9*(1-param_PS_LayMortWeekly)^INT((L$5-$H9)/7)*(param_PS_CobbHDP/100)*7*param_PS_CobbSettableRatio,0),0),0)</f>
        <v/>
      </c>
      <c r="M9" s="41">
        <f>IFERROR(IF(AND(M$5&gt;=$H9,M$5&lt;=$I9,$D9&gt;0),ROUND(J9*(1-param_PS_LayMortWeekly)^INT((M$5-$H9)/7)*(param_PS_CobbHDP/100)*7*param_PS_CobbSettableRatio,0),0),0)</f>
        <v/>
      </c>
      <c r="N9" s="41">
        <f>IFERROR(IF(AND(N$5&gt;=$H9,N$5&lt;=$I9,$D9&gt;0),ROUND(J9*(1-param_PS_LayMortWeekly)^INT((N$5-$H9)/7)*(param_PS_CobbHDP/100)*7*param_PS_CobbSettableRatio,0),0),0)</f>
        <v/>
      </c>
      <c r="O9" s="41">
        <f>IFERROR(IF(AND(O$5&gt;=$H9,O$5&lt;=$I9,$D9&gt;0),ROUND(J9*(1-param_PS_LayMortWeekly)^INT((O$5-$H9)/7)*(param_PS_CobbHDP/100)*7*param_PS_CobbSettableRatio,0),0),0)</f>
        <v/>
      </c>
      <c r="P9" s="41">
        <f>IFERROR(IF(AND(P$5&gt;=$H9,P$5&lt;=$I9,$D9&gt;0),ROUND(J9*(1-param_PS_LayMortWeekly)^INT((P$5-$H9)/7)*(param_PS_CobbHDP/100)*7*param_PS_CobbSettableRatio,0),0),0)</f>
        <v/>
      </c>
      <c r="Q9" s="41">
        <f>IFERROR(IF(AND(Q$5&gt;=$H9,Q$5&lt;=$I9,$D9&gt;0),ROUND(J9*(1-param_PS_LayMortWeekly)^INT((Q$5-$H9)/7)*(param_PS_CobbHDP/100)*7*param_PS_CobbSettableRatio,0),0),0)</f>
        <v/>
      </c>
      <c r="R9" s="41">
        <f>IFERROR(IF(AND(R$5&gt;=$H9,R$5&lt;=$I9,$D9&gt;0),ROUND(J9*(1-param_PS_LayMortWeekly)^INT((R$5-$H9)/7)*(param_PS_CobbHDP/100)*7*param_PS_CobbSettableRatio,0),0),0)</f>
        <v/>
      </c>
      <c r="S9" s="41">
        <f>IFERROR(IF(AND(S$5&gt;=$H9,S$5&lt;=$I9,$D9&gt;0),ROUND(J9*(1-param_PS_LayMortWeekly)^INT((S$5-$H9)/7)*(param_PS_CobbHDP/100)*7*param_PS_CobbSettableRatio,0),0),0)</f>
        <v/>
      </c>
      <c r="T9" s="41">
        <f>IFERROR(IF(AND(T$5&gt;=$H9,T$5&lt;=$I9,$D9&gt;0),ROUND(J9*(1-param_PS_LayMortWeekly)^INT((T$5-$H9)/7)*(param_PS_CobbHDP/100)*7*param_PS_CobbSettableRatio,0),0),0)</f>
        <v/>
      </c>
      <c r="U9" s="41">
        <f>IFERROR(IF(AND(U$5&gt;=$H9,U$5&lt;=$I9,$D9&gt;0),ROUND(J9*(1-param_PS_LayMortWeekly)^INT((U$5-$H9)/7)*(param_PS_CobbHDP/100)*7*param_PS_CobbSettableRatio,0),0),0)</f>
        <v/>
      </c>
      <c r="V9" s="41">
        <f>IFERROR(IF(AND(V$5&gt;=$H9,V$5&lt;=$I9,$D9&gt;0),ROUND(J9*(1-param_PS_LayMortWeekly)^INT((V$5-$H9)/7)*(param_PS_CobbHDP/100)*7*param_PS_CobbSettableRatio,0),0),0)</f>
        <v/>
      </c>
      <c r="W9" s="41">
        <f>IFERROR(IF(AND(W$5&gt;=$H9,W$5&lt;=$I9,$D9&gt;0),ROUND(J9*(1-param_PS_LayMortWeekly)^INT((W$5-$H9)/7)*(param_PS_CobbHDP/100)*7*param_PS_CobbSettableRatio,0),0),0)</f>
        <v/>
      </c>
      <c r="X9" s="41">
        <f>IFERROR(IF(AND(X$5&gt;=$H9,X$5&lt;=$I9,$D9&gt;0),ROUND(J9*(1-param_PS_LayMortWeekly)^INT((X$5-$H9)/7)*(param_PS_CobbHDP/100)*7*param_PS_CobbSettableRatio,0),0),0)</f>
        <v/>
      </c>
      <c r="Y9" s="41">
        <f>IFERROR(IF(AND(Y$5&gt;=$H9,Y$5&lt;=$I9,$D9&gt;0),ROUND(J9*(1-param_PS_LayMortWeekly)^INT((Y$5-$H9)/7)*(param_PS_CobbHDP/100)*7*param_PS_CobbSettableRatio,0),0),0)</f>
        <v/>
      </c>
      <c r="Z9" s="41">
        <f>IFERROR(IF(AND(Z$5&gt;=$H9,Z$5&lt;=$I9,$D9&gt;0),ROUND(J9*(1-param_PS_LayMortWeekly)^INT((Z$5-$H9)/7)*(param_PS_CobbHDP/100)*7*param_PS_CobbSettableRatio,0),0),0)</f>
        <v/>
      </c>
      <c r="AA9" s="41">
        <f>IFERROR(IF(AND(AA$5&gt;=$H9,AA$5&lt;=$I9,$D9&gt;0),ROUND(J9*(1-param_PS_LayMortWeekly)^INT((AA$5-$H9)/7)*(param_PS_CobbHDP/100)*7*param_PS_CobbSettableRatio,0),0),0)</f>
        <v/>
      </c>
      <c r="AB9" s="41">
        <f>IFERROR(IF(AND(AB$5&gt;=$H9,AB$5&lt;=$I9,$D9&gt;0),ROUND(J9*(1-param_PS_LayMortWeekly)^INT((AB$5-$H9)/7)*(param_PS_CobbHDP/100)*7*param_PS_CobbSettableRatio,0),0),0)</f>
        <v/>
      </c>
      <c r="AC9" s="41">
        <f>IFERROR(IF(AND(AC$5&gt;=$H9,AC$5&lt;=$I9,$D9&gt;0),ROUND(J9*(1-param_PS_LayMortWeekly)^INT((AC$5-$H9)/7)*(param_PS_CobbHDP/100)*7*param_PS_CobbSettableRatio,0),0),0)</f>
        <v/>
      </c>
      <c r="AD9" s="41">
        <f>IFERROR(IF(AND(AD$5&gt;=$H9,AD$5&lt;=$I9,$D9&gt;0),ROUND(J9*(1-param_PS_LayMortWeekly)^INT((AD$5-$H9)/7)*(param_PS_CobbHDP/100)*7*param_PS_CobbSettableRatio,0),0),0)</f>
        <v/>
      </c>
      <c r="AE9" s="41">
        <f>IFERROR(IF(AND(AE$5&gt;=$H9,AE$5&lt;=$I9,$D9&gt;0),ROUND(J9*(1-param_PS_LayMortWeekly)^INT((AE$5-$H9)/7)*(param_PS_CobbHDP/100)*7*param_PS_CobbSettableRatio,0),0),0)</f>
        <v/>
      </c>
      <c r="AF9" s="41">
        <f>IFERROR(IF(AND(AF$5&gt;=$H9,AF$5&lt;=$I9,$D9&gt;0),ROUND(J9*(1-param_PS_LayMortWeekly)^INT((AF$5-$H9)/7)*(param_PS_CobbHDP/100)*7*param_PS_CobbSettableRatio,0),0),0)</f>
        <v/>
      </c>
      <c r="AG9" s="41">
        <f>IFERROR(IF(AND(AG$5&gt;=$H9,AG$5&lt;=$I9,$D9&gt;0),ROUND(J9*(1-param_PS_LayMortWeekly)^INT((AG$5-$H9)/7)*(param_PS_CobbHDP/100)*7*param_PS_CobbSettableRatio,0),0),0)</f>
        <v/>
      </c>
      <c r="AH9" s="41">
        <f>IFERROR(IF(AND(AH$5&gt;=$H9,AH$5&lt;=$I9,$D9&gt;0),ROUND(J9*(1-param_PS_LayMortWeekly)^INT((AH$5-$H9)/7)*(param_PS_CobbHDP/100)*7*param_PS_CobbSettableRatio,0),0),0)</f>
        <v/>
      </c>
      <c r="AI9" s="41">
        <f>IFERROR(IF(AND(AI$5&gt;=$H9,AI$5&lt;=$I9,$D9&gt;0),ROUND(J9*(1-param_PS_LayMortWeekly)^INT((AI$5-$H9)/7)*(param_PS_CobbHDP/100)*7*param_PS_CobbSettableRatio,0),0),0)</f>
        <v/>
      </c>
      <c r="AJ9" s="41">
        <f>IFERROR(IF(AND(AJ$5&gt;=$H9,AJ$5&lt;=$I9,$D9&gt;0),ROUND(J9*(1-param_PS_LayMortWeekly)^INT((AJ$5-$H9)/7)*(param_PS_CobbHDP/100)*7*param_PS_CobbSettableRatio,0),0),0)</f>
        <v/>
      </c>
      <c r="AK9" s="41">
        <f>IFERROR(IF(AND(AK$5&gt;=$H9,AK$5&lt;=$I9,$D9&gt;0),ROUND(J9*(1-param_PS_LayMortWeekly)^INT((AK$5-$H9)/7)*(param_PS_CobbHDP/100)*7*param_PS_CobbSettableRatio,0),0),0)</f>
        <v/>
      </c>
      <c r="AL9" s="41">
        <f>IFERROR(IF(AND(AL$5&gt;=$H9,AL$5&lt;=$I9,$D9&gt;0),ROUND(J9*(1-param_PS_LayMortWeekly)^INT((AL$5-$H9)/7)*(param_PS_CobbHDP/100)*7*param_PS_CobbSettableRatio,0),0),0)</f>
        <v/>
      </c>
      <c r="AM9" s="41">
        <f>IFERROR(IF(AND(AM$5&gt;=$H9,AM$5&lt;=$I9,$D9&gt;0),ROUND(J9*(1-param_PS_LayMortWeekly)^INT((AM$5-$H9)/7)*(param_PS_CobbHDP/100)*7*param_PS_CobbSettableRatio,0),0),0)</f>
        <v/>
      </c>
      <c r="AN9" s="41">
        <f>IFERROR(IF(AND(AN$5&gt;=$H9,AN$5&lt;=$I9,$D9&gt;0),ROUND(J9*(1-param_PS_LayMortWeekly)^INT((AN$5-$H9)/7)*(param_PS_CobbHDP/100)*7*param_PS_CobbSettableRatio,0),0),0)</f>
        <v/>
      </c>
      <c r="AO9" s="41">
        <f>IFERROR(IF(AND(AO$5&gt;=$H9,AO$5&lt;=$I9,$D9&gt;0),ROUND(J9*(1-param_PS_LayMortWeekly)^INT((AO$5-$H9)/7)*(param_PS_CobbHDP/100)*7*param_PS_CobbSettableRatio,0),0),0)</f>
        <v/>
      </c>
      <c r="AP9" s="41">
        <f>IFERROR(IF(AND(AP$5&gt;=$H9,AP$5&lt;=$I9,$D9&gt;0),ROUND(J9*(1-param_PS_LayMortWeekly)^INT((AP$5-$H9)/7)*(param_PS_CobbHDP/100)*7*param_PS_CobbSettableRatio,0),0),0)</f>
        <v/>
      </c>
      <c r="AQ9" s="41">
        <f>IFERROR(IF(AND(AQ$5&gt;=$H9,AQ$5&lt;=$I9,$D9&gt;0),ROUND(J9*(1-param_PS_LayMortWeekly)^INT((AQ$5-$H9)/7)*(param_PS_CobbHDP/100)*7*param_PS_CobbSettableRatio,0),0),0)</f>
        <v/>
      </c>
      <c r="AR9" s="41">
        <f>IFERROR(IF(AND(AR$5&gt;=$H9,AR$5&lt;=$I9,$D9&gt;0),ROUND(J9*(1-param_PS_LayMortWeekly)^INT((AR$5-$H9)/7)*(param_PS_CobbHDP/100)*7*param_PS_CobbSettableRatio,0),0),0)</f>
        <v/>
      </c>
      <c r="AS9" s="41">
        <f>IFERROR(IF(AND(AS$5&gt;=$H9,AS$5&lt;=$I9,$D9&gt;0),ROUND(J9*(1-param_PS_LayMortWeekly)^INT((AS$5-$H9)/7)*(param_PS_CobbHDP/100)*7*param_PS_CobbSettableRatio,0),0),0)</f>
        <v/>
      </c>
      <c r="AT9" s="41">
        <f>IFERROR(IF(AND(AT$5&gt;=$H9,AT$5&lt;=$I9,$D9&gt;0),ROUND(J9*(1-param_PS_LayMortWeekly)^INT((AT$5-$H9)/7)*(param_PS_CobbHDP/100)*7*param_PS_CobbSettableRatio,0),0),0)</f>
        <v/>
      </c>
      <c r="AU9" s="41">
        <f>IFERROR(IF(AND(AU$5&gt;=$H9,AU$5&lt;=$I9,$D9&gt;0),ROUND(J9*(1-param_PS_LayMortWeekly)^INT((AU$5-$H9)/7)*(param_PS_CobbHDP/100)*7*param_PS_CobbSettableRatio,0),0),0)</f>
        <v/>
      </c>
      <c r="AV9" s="41">
        <f>IFERROR(IF(AND(AV$5&gt;=$H9,AV$5&lt;=$I9,$D9&gt;0),ROUND(J9*(1-param_PS_LayMortWeekly)^INT((AV$5-$H9)/7)*(param_PS_CobbHDP/100)*7*param_PS_CobbSettableRatio,0),0),0)</f>
        <v/>
      </c>
      <c r="AW9" s="41">
        <f>IFERROR(IF(AND(AW$5&gt;=$H9,AW$5&lt;=$I9,$D9&gt;0),ROUND(J9*(1-param_PS_LayMortWeekly)^INT((AW$5-$H9)/7)*(param_PS_CobbHDP/100)*7*param_PS_CobbSettableRatio,0),0),0)</f>
        <v/>
      </c>
      <c r="AX9" s="41">
        <f>IFERROR(IF(AND(AX$5&gt;=$H9,AX$5&lt;=$I9,$D9&gt;0),ROUND(J9*(1-param_PS_LayMortWeekly)^INT((AX$5-$H9)/7)*(param_PS_CobbHDP/100)*7*param_PS_CobbSettableRatio,0),0),0)</f>
        <v/>
      </c>
      <c r="AY9" s="41">
        <f>IFERROR(IF(AND(AY$5&gt;=$H9,AY$5&lt;=$I9,$D9&gt;0),ROUND(J9*(1-param_PS_LayMortWeekly)^INT((AY$5-$H9)/7)*(param_PS_CobbHDP/100)*7*param_PS_CobbSettableRatio,0),0),0)</f>
        <v/>
      </c>
      <c r="AZ9" s="41">
        <f>IFERROR(IF(AND(AZ$5&gt;=$H9,AZ$5&lt;=$I9,$D9&gt;0),ROUND(J9*(1-param_PS_LayMortWeekly)^INT((AZ$5-$H9)/7)*(param_PS_CobbHDP/100)*7*param_PS_CobbSettableRatio,0),0),0)</f>
        <v/>
      </c>
      <c r="BA9" s="41">
        <f>IFERROR(IF(AND(BA$5&gt;=$H9,BA$5&lt;=$I9,$D9&gt;0),ROUND(J9*(1-param_PS_LayMortWeekly)^INT((BA$5-$H9)/7)*(param_PS_CobbHDP/100)*7*param_PS_CobbSettableRatio,0),0),0)</f>
        <v/>
      </c>
      <c r="BB9" s="41">
        <f>IFERROR(IF(AND(BB$5&gt;=$H9,BB$5&lt;=$I9,$D9&gt;0),ROUND(J9*(1-param_PS_LayMortWeekly)^INT((BB$5-$H9)/7)*(param_PS_CobbHDP/100)*7*param_PS_CobbSettableRatio,0),0),0)</f>
        <v/>
      </c>
      <c r="BC9" s="41">
        <f>IFERROR(IF(AND(BC$5&gt;=$H9,BC$5&lt;=$I9,$D9&gt;0),ROUND(J9*(1-param_PS_LayMortWeekly)^INT((BC$5-$H9)/7)*(param_PS_CobbHDP/100)*7*param_PS_CobbSettableRatio,0),0),0)</f>
        <v/>
      </c>
      <c r="BD9" s="41">
        <f>IFERROR(IF(AND(BD$5&gt;=$H9,BD$5&lt;=$I9,$D9&gt;0),ROUND(J9*(1-param_PS_LayMortWeekly)^INT((BD$5-$H9)/7)*(param_PS_CobbHDP/100)*7*param_PS_CobbSettableRatio,0),0),0)</f>
        <v/>
      </c>
      <c r="BE9" s="41">
        <f>IFERROR(IF(AND(BE$5&gt;=$H9,BE$5&lt;=$I9,$D9&gt;0),ROUND(J9*(1-param_PS_LayMortWeekly)^INT((BE$5-$H9)/7)*(param_PS_CobbHDP/100)*7*param_PS_CobbSettableRatio,0),0),0)</f>
        <v/>
      </c>
      <c r="BF9" s="41">
        <f>IFERROR(IF(AND(BF$5&gt;=$H9,BF$5&lt;=$I9,$D9&gt;0),ROUND(J9*(1-param_PS_LayMortWeekly)^INT((BF$5-$H9)/7)*(param_PS_CobbHDP/100)*7*param_PS_CobbSettableRatio,0),0),0)</f>
        <v/>
      </c>
      <c r="BG9" s="41">
        <f>IFERROR(IF(AND(BG$5&gt;=$H9,BG$5&lt;=$I9,$D9&gt;0),ROUND(J9*(1-param_PS_LayMortWeekly)^INT((BG$5-$H9)/7)*(param_PS_CobbHDP/100)*7*param_PS_CobbSettableRatio,0),0),0)</f>
        <v/>
      </c>
      <c r="BH9" s="41">
        <f>IFERROR(IF(AND(BH$5&gt;=$H9,BH$5&lt;=$I9,$D9&gt;0),ROUND(J9*(1-param_PS_LayMortWeekly)^INT((BH$5-$H9)/7)*(param_PS_CobbHDP/100)*7*param_PS_CobbSettableRatio,0),0),0)</f>
        <v/>
      </c>
      <c r="BI9" s="41">
        <f>IFERROR(IF(AND(BI$5&gt;=$H9,BI$5&lt;=$I9,$D9&gt;0),ROUND(J9*(1-param_PS_LayMortWeekly)^INT((BI$5-$H9)/7)*(param_PS_CobbHDP/100)*7*param_PS_CobbSettableRatio,0),0),0)</f>
        <v/>
      </c>
      <c r="BJ9" s="41">
        <f>IFERROR(IF(AND(BJ$5&gt;=$H9,BJ$5&lt;=$I9,$D9&gt;0),ROUND(J9*(1-param_PS_LayMortWeekly)^INT((BJ$5-$H9)/7)*(param_PS_CobbHDP/100)*7*param_PS_CobbSettableRatio,0),0),0)</f>
        <v/>
      </c>
    </row>
    <row r="10" ht="16" customHeight="1">
      <c r="A10" s="9" t="inlineStr">
        <is>
          <t>C-4</t>
        </is>
      </c>
      <c r="B10" s="52" t="inlineStr">
        <is>
          <t>Cobb-500</t>
        </is>
      </c>
      <c r="C10" s="10" t="n"/>
      <c r="D10" s="11" t="n"/>
      <c r="E10" s="53">
        <f>"N/A (internal)"</f>
        <v/>
      </c>
      <c r="F10" s="38" t="n"/>
      <c r="G10" s="12">
        <f>IF($D10&gt;0,$C10+param_PS_RearingWeeks*7,"")</f>
        <v/>
      </c>
      <c r="H10" s="12">
        <f>IF($G10&lt;&gt;"",$G10+param_PS_PreLayWeeks*7,"")</f>
        <v/>
      </c>
      <c r="I10" s="12">
        <f>IF($H10&lt;&gt;"",$H10+param_PS_LayingWeeks*7,"")</f>
        <v/>
      </c>
      <c r="J10" s="13">
        <f>IF($D10&gt;0,ROUND($D10*(1-param_PS_RearingMortality)*(1-param_PS_PreLayMortality),0),0)</f>
        <v/>
      </c>
      <c r="K10" s="41">
        <f>IFERROR(IF(AND(K$5&gt;=$H10,K$5&lt;=$I10,$D10&gt;0),ROUND(J10*(1-param_PS_LayMortWeekly)^INT((K$5-$H10)/7)*(param_PS_CobbHDP/100)*7*param_PS_CobbSettableRatio,0),0),0)</f>
        <v/>
      </c>
      <c r="L10" s="41">
        <f>IFERROR(IF(AND(L$5&gt;=$H10,L$5&lt;=$I10,$D10&gt;0),ROUND(J10*(1-param_PS_LayMortWeekly)^INT((L$5-$H10)/7)*(param_PS_CobbHDP/100)*7*param_PS_CobbSettableRatio,0),0),0)</f>
        <v/>
      </c>
      <c r="M10" s="41">
        <f>IFERROR(IF(AND(M$5&gt;=$H10,M$5&lt;=$I10,$D10&gt;0),ROUND(J10*(1-param_PS_LayMortWeekly)^INT((M$5-$H10)/7)*(param_PS_CobbHDP/100)*7*param_PS_CobbSettableRatio,0),0),0)</f>
        <v/>
      </c>
      <c r="N10" s="41">
        <f>IFERROR(IF(AND(N$5&gt;=$H10,N$5&lt;=$I10,$D10&gt;0),ROUND(J10*(1-param_PS_LayMortWeekly)^INT((N$5-$H10)/7)*(param_PS_CobbHDP/100)*7*param_PS_CobbSettableRatio,0),0),0)</f>
        <v/>
      </c>
      <c r="O10" s="41">
        <f>IFERROR(IF(AND(O$5&gt;=$H10,O$5&lt;=$I10,$D10&gt;0),ROUND(J10*(1-param_PS_LayMortWeekly)^INT((O$5-$H10)/7)*(param_PS_CobbHDP/100)*7*param_PS_CobbSettableRatio,0),0),0)</f>
        <v/>
      </c>
      <c r="P10" s="41">
        <f>IFERROR(IF(AND(P$5&gt;=$H10,P$5&lt;=$I10,$D10&gt;0),ROUND(J10*(1-param_PS_LayMortWeekly)^INT((P$5-$H10)/7)*(param_PS_CobbHDP/100)*7*param_PS_CobbSettableRatio,0),0),0)</f>
        <v/>
      </c>
      <c r="Q10" s="41">
        <f>IFERROR(IF(AND(Q$5&gt;=$H10,Q$5&lt;=$I10,$D10&gt;0),ROUND(J10*(1-param_PS_LayMortWeekly)^INT((Q$5-$H10)/7)*(param_PS_CobbHDP/100)*7*param_PS_CobbSettableRatio,0),0),0)</f>
        <v/>
      </c>
      <c r="R10" s="41">
        <f>IFERROR(IF(AND(R$5&gt;=$H10,R$5&lt;=$I10,$D10&gt;0),ROUND(J10*(1-param_PS_LayMortWeekly)^INT((R$5-$H10)/7)*(param_PS_CobbHDP/100)*7*param_PS_CobbSettableRatio,0),0),0)</f>
        <v/>
      </c>
      <c r="S10" s="41">
        <f>IFERROR(IF(AND(S$5&gt;=$H10,S$5&lt;=$I10,$D10&gt;0),ROUND(J10*(1-param_PS_LayMortWeekly)^INT((S$5-$H10)/7)*(param_PS_CobbHDP/100)*7*param_PS_CobbSettableRatio,0),0),0)</f>
        <v/>
      </c>
      <c r="T10" s="41">
        <f>IFERROR(IF(AND(T$5&gt;=$H10,T$5&lt;=$I10,$D10&gt;0),ROUND(J10*(1-param_PS_LayMortWeekly)^INT((T$5-$H10)/7)*(param_PS_CobbHDP/100)*7*param_PS_CobbSettableRatio,0),0),0)</f>
        <v/>
      </c>
      <c r="U10" s="41">
        <f>IFERROR(IF(AND(U$5&gt;=$H10,U$5&lt;=$I10,$D10&gt;0),ROUND(J10*(1-param_PS_LayMortWeekly)^INT((U$5-$H10)/7)*(param_PS_CobbHDP/100)*7*param_PS_CobbSettableRatio,0),0),0)</f>
        <v/>
      </c>
      <c r="V10" s="41">
        <f>IFERROR(IF(AND(V$5&gt;=$H10,V$5&lt;=$I10,$D10&gt;0),ROUND(J10*(1-param_PS_LayMortWeekly)^INT((V$5-$H10)/7)*(param_PS_CobbHDP/100)*7*param_PS_CobbSettableRatio,0),0),0)</f>
        <v/>
      </c>
      <c r="W10" s="41">
        <f>IFERROR(IF(AND(W$5&gt;=$H10,W$5&lt;=$I10,$D10&gt;0),ROUND(J10*(1-param_PS_LayMortWeekly)^INT((W$5-$H10)/7)*(param_PS_CobbHDP/100)*7*param_PS_CobbSettableRatio,0),0),0)</f>
        <v/>
      </c>
      <c r="X10" s="41">
        <f>IFERROR(IF(AND(X$5&gt;=$H10,X$5&lt;=$I10,$D10&gt;0),ROUND(J10*(1-param_PS_LayMortWeekly)^INT((X$5-$H10)/7)*(param_PS_CobbHDP/100)*7*param_PS_CobbSettableRatio,0),0),0)</f>
        <v/>
      </c>
      <c r="Y10" s="41">
        <f>IFERROR(IF(AND(Y$5&gt;=$H10,Y$5&lt;=$I10,$D10&gt;0),ROUND(J10*(1-param_PS_LayMortWeekly)^INT((Y$5-$H10)/7)*(param_PS_CobbHDP/100)*7*param_PS_CobbSettableRatio,0),0),0)</f>
        <v/>
      </c>
      <c r="Z10" s="41">
        <f>IFERROR(IF(AND(Z$5&gt;=$H10,Z$5&lt;=$I10,$D10&gt;0),ROUND(J10*(1-param_PS_LayMortWeekly)^INT((Z$5-$H10)/7)*(param_PS_CobbHDP/100)*7*param_PS_CobbSettableRatio,0),0),0)</f>
        <v/>
      </c>
      <c r="AA10" s="41">
        <f>IFERROR(IF(AND(AA$5&gt;=$H10,AA$5&lt;=$I10,$D10&gt;0),ROUND(J10*(1-param_PS_LayMortWeekly)^INT((AA$5-$H10)/7)*(param_PS_CobbHDP/100)*7*param_PS_CobbSettableRatio,0),0),0)</f>
        <v/>
      </c>
      <c r="AB10" s="41">
        <f>IFERROR(IF(AND(AB$5&gt;=$H10,AB$5&lt;=$I10,$D10&gt;0),ROUND(J10*(1-param_PS_LayMortWeekly)^INT((AB$5-$H10)/7)*(param_PS_CobbHDP/100)*7*param_PS_CobbSettableRatio,0),0),0)</f>
        <v/>
      </c>
      <c r="AC10" s="41">
        <f>IFERROR(IF(AND(AC$5&gt;=$H10,AC$5&lt;=$I10,$D10&gt;0),ROUND(J10*(1-param_PS_LayMortWeekly)^INT((AC$5-$H10)/7)*(param_PS_CobbHDP/100)*7*param_PS_CobbSettableRatio,0),0),0)</f>
        <v/>
      </c>
      <c r="AD10" s="41">
        <f>IFERROR(IF(AND(AD$5&gt;=$H10,AD$5&lt;=$I10,$D10&gt;0),ROUND(J10*(1-param_PS_LayMortWeekly)^INT((AD$5-$H10)/7)*(param_PS_CobbHDP/100)*7*param_PS_CobbSettableRatio,0),0),0)</f>
        <v/>
      </c>
      <c r="AE10" s="41">
        <f>IFERROR(IF(AND(AE$5&gt;=$H10,AE$5&lt;=$I10,$D10&gt;0),ROUND(J10*(1-param_PS_LayMortWeekly)^INT((AE$5-$H10)/7)*(param_PS_CobbHDP/100)*7*param_PS_CobbSettableRatio,0),0),0)</f>
        <v/>
      </c>
      <c r="AF10" s="41">
        <f>IFERROR(IF(AND(AF$5&gt;=$H10,AF$5&lt;=$I10,$D10&gt;0),ROUND(J10*(1-param_PS_LayMortWeekly)^INT((AF$5-$H10)/7)*(param_PS_CobbHDP/100)*7*param_PS_CobbSettableRatio,0),0),0)</f>
        <v/>
      </c>
      <c r="AG10" s="41">
        <f>IFERROR(IF(AND(AG$5&gt;=$H10,AG$5&lt;=$I10,$D10&gt;0),ROUND(J10*(1-param_PS_LayMortWeekly)^INT((AG$5-$H10)/7)*(param_PS_CobbHDP/100)*7*param_PS_CobbSettableRatio,0),0),0)</f>
        <v/>
      </c>
      <c r="AH10" s="41">
        <f>IFERROR(IF(AND(AH$5&gt;=$H10,AH$5&lt;=$I10,$D10&gt;0),ROUND(J10*(1-param_PS_LayMortWeekly)^INT((AH$5-$H10)/7)*(param_PS_CobbHDP/100)*7*param_PS_CobbSettableRatio,0),0),0)</f>
        <v/>
      </c>
      <c r="AI10" s="41">
        <f>IFERROR(IF(AND(AI$5&gt;=$H10,AI$5&lt;=$I10,$D10&gt;0),ROUND(J10*(1-param_PS_LayMortWeekly)^INT((AI$5-$H10)/7)*(param_PS_CobbHDP/100)*7*param_PS_CobbSettableRatio,0),0),0)</f>
        <v/>
      </c>
      <c r="AJ10" s="41">
        <f>IFERROR(IF(AND(AJ$5&gt;=$H10,AJ$5&lt;=$I10,$D10&gt;0),ROUND(J10*(1-param_PS_LayMortWeekly)^INT((AJ$5-$H10)/7)*(param_PS_CobbHDP/100)*7*param_PS_CobbSettableRatio,0),0),0)</f>
        <v/>
      </c>
      <c r="AK10" s="41">
        <f>IFERROR(IF(AND(AK$5&gt;=$H10,AK$5&lt;=$I10,$D10&gt;0),ROUND(J10*(1-param_PS_LayMortWeekly)^INT((AK$5-$H10)/7)*(param_PS_CobbHDP/100)*7*param_PS_CobbSettableRatio,0),0),0)</f>
        <v/>
      </c>
      <c r="AL10" s="41">
        <f>IFERROR(IF(AND(AL$5&gt;=$H10,AL$5&lt;=$I10,$D10&gt;0),ROUND(J10*(1-param_PS_LayMortWeekly)^INT((AL$5-$H10)/7)*(param_PS_CobbHDP/100)*7*param_PS_CobbSettableRatio,0),0),0)</f>
        <v/>
      </c>
      <c r="AM10" s="41">
        <f>IFERROR(IF(AND(AM$5&gt;=$H10,AM$5&lt;=$I10,$D10&gt;0),ROUND(J10*(1-param_PS_LayMortWeekly)^INT((AM$5-$H10)/7)*(param_PS_CobbHDP/100)*7*param_PS_CobbSettableRatio,0),0),0)</f>
        <v/>
      </c>
      <c r="AN10" s="41">
        <f>IFERROR(IF(AND(AN$5&gt;=$H10,AN$5&lt;=$I10,$D10&gt;0),ROUND(J10*(1-param_PS_LayMortWeekly)^INT((AN$5-$H10)/7)*(param_PS_CobbHDP/100)*7*param_PS_CobbSettableRatio,0),0),0)</f>
        <v/>
      </c>
      <c r="AO10" s="41">
        <f>IFERROR(IF(AND(AO$5&gt;=$H10,AO$5&lt;=$I10,$D10&gt;0),ROUND(J10*(1-param_PS_LayMortWeekly)^INT((AO$5-$H10)/7)*(param_PS_CobbHDP/100)*7*param_PS_CobbSettableRatio,0),0),0)</f>
        <v/>
      </c>
      <c r="AP10" s="41">
        <f>IFERROR(IF(AND(AP$5&gt;=$H10,AP$5&lt;=$I10,$D10&gt;0),ROUND(J10*(1-param_PS_LayMortWeekly)^INT((AP$5-$H10)/7)*(param_PS_CobbHDP/100)*7*param_PS_CobbSettableRatio,0),0),0)</f>
        <v/>
      </c>
      <c r="AQ10" s="41">
        <f>IFERROR(IF(AND(AQ$5&gt;=$H10,AQ$5&lt;=$I10,$D10&gt;0),ROUND(J10*(1-param_PS_LayMortWeekly)^INT((AQ$5-$H10)/7)*(param_PS_CobbHDP/100)*7*param_PS_CobbSettableRatio,0),0),0)</f>
        <v/>
      </c>
      <c r="AR10" s="41">
        <f>IFERROR(IF(AND(AR$5&gt;=$H10,AR$5&lt;=$I10,$D10&gt;0),ROUND(J10*(1-param_PS_LayMortWeekly)^INT((AR$5-$H10)/7)*(param_PS_CobbHDP/100)*7*param_PS_CobbSettableRatio,0),0),0)</f>
        <v/>
      </c>
      <c r="AS10" s="41">
        <f>IFERROR(IF(AND(AS$5&gt;=$H10,AS$5&lt;=$I10,$D10&gt;0),ROUND(J10*(1-param_PS_LayMortWeekly)^INT((AS$5-$H10)/7)*(param_PS_CobbHDP/100)*7*param_PS_CobbSettableRatio,0),0),0)</f>
        <v/>
      </c>
      <c r="AT10" s="41">
        <f>IFERROR(IF(AND(AT$5&gt;=$H10,AT$5&lt;=$I10,$D10&gt;0),ROUND(J10*(1-param_PS_LayMortWeekly)^INT((AT$5-$H10)/7)*(param_PS_CobbHDP/100)*7*param_PS_CobbSettableRatio,0),0),0)</f>
        <v/>
      </c>
      <c r="AU10" s="41">
        <f>IFERROR(IF(AND(AU$5&gt;=$H10,AU$5&lt;=$I10,$D10&gt;0),ROUND(J10*(1-param_PS_LayMortWeekly)^INT((AU$5-$H10)/7)*(param_PS_CobbHDP/100)*7*param_PS_CobbSettableRatio,0),0),0)</f>
        <v/>
      </c>
      <c r="AV10" s="41">
        <f>IFERROR(IF(AND(AV$5&gt;=$H10,AV$5&lt;=$I10,$D10&gt;0),ROUND(J10*(1-param_PS_LayMortWeekly)^INT((AV$5-$H10)/7)*(param_PS_CobbHDP/100)*7*param_PS_CobbSettableRatio,0),0),0)</f>
        <v/>
      </c>
      <c r="AW10" s="41">
        <f>IFERROR(IF(AND(AW$5&gt;=$H10,AW$5&lt;=$I10,$D10&gt;0),ROUND(J10*(1-param_PS_LayMortWeekly)^INT((AW$5-$H10)/7)*(param_PS_CobbHDP/100)*7*param_PS_CobbSettableRatio,0),0),0)</f>
        <v/>
      </c>
      <c r="AX10" s="41">
        <f>IFERROR(IF(AND(AX$5&gt;=$H10,AX$5&lt;=$I10,$D10&gt;0),ROUND(J10*(1-param_PS_LayMortWeekly)^INT((AX$5-$H10)/7)*(param_PS_CobbHDP/100)*7*param_PS_CobbSettableRatio,0),0),0)</f>
        <v/>
      </c>
      <c r="AY10" s="41">
        <f>IFERROR(IF(AND(AY$5&gt;=$H10,AY$5&lt;=$I10,$D10&gt;0),ROUND(J10*(1-param_PS_LayMortWeekly)^INT((AY$5-$H10)/7)*(param_PS_CobbHDP/100)*7*param_PS_CobbSettableRatio,0),0),0)</f>
        <v/>
      </c>
      <c r="AZ10" s="41">
        <f>IFERROR(IF(AND(AZ$5&gt;=$H10,AZ$5&lt;=$I10,$D10&gt;0),ROUND(J10*(1-param_PS_LayMortWeekly)^INT((AZ$5-$H10)/7)*(param_PS_CobbHDP/100)*7*param_PS_CobbSettableRatio,0),0),0)</f>
        <v/>
      </c>
      <c r="BA10" s="41">
        <f>IFERROR(IF(AND(BA$5&gt;=$H10,BA$5&lt;=$I10,$D10&gt;0),ROUND(J10*(1-param_PS_LayMortWeekly)^INT((BA$5-$H10)/7)*(param_PS_CobbHDP/100)*7*param_PS_CobbSettableRatio,0),0),0)</f>
        <v/>
      </c>
      <c r="BB10" s="41">
        <f>IFERROR(IF(AND(BB$5&gt;=$H10,BB$5&lt;=$I10,$D10&gt;0),ROUND(J10*(1-param_PS_LayMortWeekly)^INT((BB$5-$H10)/7)*(param_PS_CobbHDP/100)*7*param_PS_CobbSettableRatio,0),0),0)</f>
        <v/>
      </c>
      <c r="BC10" s="41">
        <f>IFERROR(IF(AND(BC$5&gt;=$H10,BC$5&lt;=$I10,$D10&gt;0),ROUND(J10*(1-param_PS_LayMortWeekly)^INT((BC$5-$H10)/7)*(param_PS_CobbHDP/100)*7*param_PS_CobbSettableRatio,0),0),0)</f>
        <v/>
      </c>
      <c r="BD10" s="41">
        <f>IFERROR(IF(AND(BD$5&gt;=$H10,BD$5&lt;=$I10,$D10&gt;0),ROUND(J10*(1-param_PS_LayMortWeekly)^INT((BD$5-$H10)/7)*(param_PS_CobbHDP/100)*7*param_PS_CobbSettableRatio,0),0),0)</f>
        <v/>
      </c>
      <c r="BE10" s="41">
        <f>IFERROR(IF(AND(BE$5&gt;=$H10,BE$5&lt;=$I10,$D10&gt;0),ROUND(J10*(1-param_PS_LayMortWeekly)^INT((BE$5-$H10)/7)*(param_PS_CobbHDP/100)*7*param_PS_CobbSettableRatio,0),0),0)</f>
        <v/>
      </c>
      <c r="BF10" s="41">
        <f>IFERROR(IF(AND(BF$5&gt;=$H10,BF$5&lt;=$I10,$D10&gt;0),ROUND(J10*(1-param_PS_LayMortWeekly)^INT((BF$5-$H10)/7)*(param_PS_CobbHDP/100)*7*param_PS_CobbSettableRatio,0),0),0)</f>
        <v/>
      </c>
      <c r="BG10" s="41">
        <f>IFERROR(IF(AND(BG$5&gt;=$H10,BG$5&lt;=$I10,$D10&gt;0),ROUND(J10*(1-param_PS_LayMortWeekly)^INT((BG$5-$H10)/7)*(param_PS_CobbHDP/100)*7*param_PS_CobbSettableRatio,0),0),0)</f>
        <v/>
      </c>
      <c r="BH10" s="41">
        <f>IFERROR(IF(AND(BH$5&gt;=$H10,BH$5&lt;=$I10,$D10&gt;0),ROUND(J10*(1-param_PS_LayMortWeekly)^INT((BH$5-$H10)/7)*(param_PS_CobbHDP/100)*7*param_PS_CobbSettableRatio,0),0),0)</f>
        <v/>
      </c>
      <c r="BI10" s="41">
        <f>IFERROR(IF(AND(BI$5&gt;=$H10,BI$5&lt;=$I10,$D10&gt;0),ROUND(J10*(1-param_PS_LayMortWeekly)^INT((BI$5-$H10)/7)*(param_PS_CobbHDP/100)*7*param_PS_CobbSettableRatio,0),0),0)</f>
        <v/>
      </c>
      <c r="BJ10" s="41">
        <f>IFERROR(IF(AND(BJ$5&gt;=$H10,BJ$5&lt;=$I10,$D10&gt;0),ROUND(J10*(1-param_PS_LayMortWeekly)^INT((BJ$5-$H10)/7)*(param_PS_CobbHDP/100)*7*param_PS_CobbSettableRatio,0),0),0)</f>
        <v/>
      </c>
    </row>
    <row r="11" ht="16" customHeight="1">
      <c r="A11" s="9" t="inlineStr">
        <is>
          <t>C-5</t>
        </is>
      </c>
      <c r="B11" s="52" t="inlineStr">
        <is>
          <t>Cobb-500</t>
        </is>
      </c>
      <c r="C11" s="10" t="n"/>
      <c r="D11" s="11" t="n"/>
      <c r="E11" s="53">
        <f>"N/A (internal)"</f>
        <v/>
      </c>
      <c r="F11" s="38" t="n"/>
      <c r="G11" s="12">
        <f>IF($D11&gt;0,$C11+param_PS_RearingWeeks*7,"")</f>
        <v/>
      </c>
      <c r="H11" s="12">
        <f>IF($G11&lt;&gt;"",$G11+param_PS_PreLayWeeks*7,"")</f>
        <v/>
      </c>
      <c r="I11" s="12">
        <f>IF($H11&lt;&gt;"",$H11+param_PS_LayingWeeks*7,"")</f>
        <v/>
      </c>
      <c r="J11" s="13">
        <f>IF($D11&gt;0,ROUND($D11*(1-param_PS_RearingMortality)*(1-param_PS_PreLayMortality),0),0)</f>
        <v/>
      </c>
      <c r="K11" s="41">
        <f>IFERROR(IF(AND(K$5&gt;=$H11,K$5&lt;=$I11,$D11&gt;0),ROUND(J11*(1-param_PS_LayMortWeekly)^INT((K$5-$H11)/7)*(param_PS_CobbHDP/100)*7*param_PS_CobbSettableRatio,0),0),0)</f>
        <v/>
      </c>
      <c r="L11" s="41">
        <f>IFERROR(IF(AND(L$5&gt;=$H11,L$5&lt;=$I11,$D11&gt;0),ROUND(J11*(1-param_PS_LayMortWeekly)^INT((L$5-$H11)/7)*(param_PS_CobbHDP/100)*7*param_PS_CobbSettableRatio,0),0),0)</f>
        <v/>
      </c>
      <c r="M11" s="41">
        <f>IFERROR(IF(AND(M$5&gt;=$H11,M$5&lt;=$I11,$D11&gt;0),ROUND(J11*(1-param_PS_LayMortWeekly)^INT((M$5-$H11)/7)*(param_PS_CobbHDP/100)*7*param_PS_CobbSettableRatio,0),0),0)</f>
        <v/>
      </c>
      <c r="N11" s="41">
        <f>IFERROR(IF(AND(N$5&gt;=$H11,N$5&lt;=$I11,$D11&gt;0),ROUND(J11*(1-param_PS_LayMortWeekly)^INT((N$5-$H11)/7)*(param_PS_CobbHDP/100)*7*param_PS_CobbSettableRatio,0),0),0)</f>
        <v/>
      </c>
      <c r="O11" s="41">
        <f>IFERROR(IF(AND(O$5&gt;=$H11,O$5&lt;=$I11,$D11&gt;0),ROUND(J11*(1-param_PS_LayMortWeekly)^INT((O$5-$H11)/7)*(param_PS_CobbHDP/100)*7*param_PS_CobbSettableRatio,0),0),0)</f>
        <v/>
      </c>
      <c r="P11" s="41">
        <f>IFERROR(IF(AND(P$5&gt;=$H11,P$5&lt;=$I11,$D11&gt;0),ROUND(J11*(1-param_PS_LayMortWeekly)^INT((P$5-$H11)/7)*(param_PS_CobbHDP/100)*7*param_PS_CobbSettableRatio,0),0),0)</f>
        <v/>
      </c>
      <c r="Q11" s="41">
        <f>IFERROR(IF(AND(Q$5&gt;=$H11,Q$5&lt;=$I11,$D11&gt;0),ROUND(J11*(1-param_PS_LayMortWeekly)^INT((Q$5-$H11)/7)*(param_PS_CobbHDP/100)*7*param_PS_CobbSettableRatio,0),0),0)</f>
        <v/>
      </c>
      <c r="R11" s="41">
        <f>IFERROR(IF(AND(R$5&gt;=$H11,R$5&lt;=$I11,$D11&gt;0),ROUND(J11*(1-param_PS_LayMortWeekly)^INT((R$5-$H11)/7)*(param_PS_CobbHDP/100)*7*param_PS_CobbSettableRatio,0),0),0)</f>
        <v/>
      </c>
      <c r="S11" s="41">
        <f>IFERROR(IF(AND(S$5&gt;=$H11,S$5&lt;=$I11,$D11&gt;0),ROUND(J11*(1-param_PS_LayMortWeekly)^INT((S$5-$H11)/7)*(param_PS_CobbHDP/100)*7*param_PS_CobbSettableRatio,0),0),0)</f>
        <v/>
      </c>
      <c r="T11" s="41">
        <f>IFERROR(IF(AND(T$5&gt;=$H11,T$5&lt;=$I11,$D11&gt;0),ROUND(J11*(1-param_PS_LayMortWeekly)^INT((T$5-$H11)/7)*(param_PS_CobbHDP/100)*7*param_PS_CobbSettableRatio,0),0),0)</f>
        <v/>
      </c>
      <c r="U11" s="41">
        <f>IFERROR(IF(AND(U$5&gt;=$H11,U$5&lt;=$I11,$D11&gt;0),ROUND(J11*(1-param_PS_LayMortWeekly)^INT((U$5-$H11)/7)*(param_PS_CobbHDP/100)*7*param_PS_CobbSettableRatio,0),0),0)</f>
        <v/>
      </c>
      <c r="V11" s="41">
        <f>IFERROR(IF(AND(V$5&gt;=$H11,V$5&lt;=$I11,$D11&gt;0),ROUND(J11*(1-param_PS_LayMortWeekly)^INT((V$5-$H11)/7)*(param_PS_CobbHDP/100)*7*param_PS_CobbSettableRatio,0),0),0)</f>
        <v/>
      </c>
      <c r="W11" s="41">
        <f>IFERROR(IF(AND(W$5&gt;=$H11,W$5&lt;=$I11,$D11&gt;0),ROUND(J11*(1-param_PS_LayMortWeekly)^INT((W$5-$H11)/7)*(param_PS_CobbHDP/100)*7*param_PS_CobbSettableRatio,0),0),0)</f>
        <v/>
      </c>
      <c r="X11" s="41">
        <f>IFERROR(IF(AND(X$5&gt;=$H11,X$5&lt;=$I11,$D11&gt;0),ROUND(J11*(1-param_PS_LayMortWeekly)^INT((X$5-$H11)/7)*(param_PS_CobbHDP/100)*7*param_PS_CobbSettableRatio,0),0),0)</f>
        <v/>
      </c>
      <c r="Y11" s="41">
        <f>IFERROR(IF(AND(Y$5&gt;=$H11,Y$5&lt;=$I11,$D11&gt;0),ROUND(J11*(1-param_PS_LayMortWeekly)^INT((Y$5-$H11)/7)*(param_PS_CobbHDP/100)*7*param_PS_CobbSettableRatio,0),0),0)</f>
        <v/>
      </c>
      <c r="Z11" s="41">
        <f>IFERROR(IF(AND(Z$5&gt;=$H11,Z$5&lt;=$I11,$D11&gt;0),ROUND(J11*(1-param_PS_LayMortWeekly)^INT((Z$5-$H11)/7)*(param_PS_CobbHDP/100)*7*param_PS_CobbSettableRatio,0),0),0)</f>
        <v/>
      </c>
      <c r="AA11" s="41">
        <f>IFERROR(IF(AND(AA$5&gt;=$H11,AA$5&lt;=$I11,$D11&gt;0),ROUND(J11*(1-param_PS_LayMortWeekly)^INT((AA$5-$H11)/7)*(param_PS_CobbHDP/100)*7*param_PS_CobbSettableRatio,0),0),0)</f>
        <v/>
      </c>
      <c r="AB11" s="41">
        <f>IFERROR(IF(AND(AB$5&gt;=$H11,AB$5&lt;=$I11,$D11&gt;0),ROUND(J11*(1-param_PS_LayMortWeekly)^INT((AB$5-$H11)/7)*(param_PS_CobbHDP/100)*7*param_PS_CobbSettableRatio,0),0),0)</f>
        <v/>
      </c>
      <c r="AC11" s="41">
        <f>IFERROR(IF(AND(AC$5&gt;=$H11,AC$5&lt;=$I11,$D11&gt;0),ROUND(J11*(1-param_PS_LayMortWeekly)^INT((AC$5-$H11)/7)*(param_PS_CobbHDP/100)*7*param_PS_CobbSettableRatio,0),0),0)</f>
        <v/>
      </c>
      <c r="AD11" s="41">
        <f>IFERROR(IF(AND(AD$5&gt;=$H11,AD$5&lt;=$I11,$D11&gt;0),ROUND(J11*(1-param_PS_LayMortWeekly)^INT((AD$5-$H11)/7)*(param_PS_CobbHDP/100)*7*param_PS_CobbSettableRatio,0),0),0)</f>
        <v/>
      </c>
      <c r="AE11" s="41">
        <f>IFERROR(IF(AND(AE$5&gt;=$H11,AE$5&lt;=$I11,$D11&gt;0),ROUND(J11*(1-param_PS_LayMortWeekly)^INT((AE$5-$H11)/7)*(param_PS_CobbHDP/100)*7*param_PS_CobbSettableRatio,0),0),0)</f>
        <v/>
      </c>
      <c r="AF11" s="41">
        <f>IFERROR(IF(AND(AF$5&gt;=$H11,AF$5&lt;=$I11,$D11&gt;0),ROUND(J11*(1-param_PS_LayMortWeekly)^INT((AF$5-$H11)/7)*(param_PS_CobbHDP/100)*7*param_PS_CobbSettableRatio,0),0),0)</f>
        <v/>
      </c>
      <c r="AG11" s="41">
        <f>IFERROR(IF(AND(AG$5&gt;=$H11,AG$5&lt;=$I11,$D11&gt;0),ROUND(J11*(1-param_PS_LayMortWeekly)^INT((AG$5-$H11)/7)*(param_PS_CobbHDP/100)*7*param_PS_CobbSettableRatio,0),0),0)</f>
        <v/>
      </c>
      <c r="AH11" s="41">
        <f>IFERROR(IF(AND(AH$5&gt;=$H11,AH$5&lt;=$I11,$D11&gt;0),ROUND(J11*(1-param_PS_LayMortWeekly)^INT((AH$5-$H11)/7)*(param_PS_CobbHDP/100)*7*param_PS_CobbSettableRatio,0),0),0)</f>
        <v/>
      </c>
      <c r="AI11" s="41">
        <f>IFERROR(IF(AND(AI$5&gt;=$H11,AI$5&lt;=$I11,$D11&gt;0),ROUND(J11*(1-param_PS_LayMortWeekly)^INT((AI$5-$H11)/7)*(param_PS_CobbHDP/100)*7*param_PS_CobbSettableRatio,0),0),0)</f>
        <v/>
      </c>
      <c r="AJ11" s="41">
        <f>IFERROR(IF(AND(AJ$5&gt;=$H11,AJ$5&lt;=$I11,$D11&gt;0),ROUND(J11*(1-param_PS_LayMortWeekly)^INT((AJ$5-$H11)/7)*(param_PS_CobbHDP/100)*7*param_PS_CobbSettableRatio,0),0),0)</f>
        <v/>
      </c>
      <c r="AK11" s="41">
        <f>IFERROR(IF(AND(AK$5&gt;=$H11,AK$5&lt;=$I11,$D11&gt;0),ROUND(J11*(1-param_PS_LayMortWeekly)^INT((AK$5-$H11)/7)*(param_PS_CobbHDP/100)*7*param_PS_CobbSettableRatio,0),0),0)</f>
        <v/>
      </c>
      <c r="AL11" s="41">
        <f>IFERROR(IF(AND(AL$5&gt;=$H11,AL$5&lt;=$I11,$D11&gt;0),ROUND(J11*(1-param_PS_LayMortWeekly)^INT((AL$5-$H11)/7)*(param_PS_CobbHDP/100)*7*param_PS_CobbSettableRatio,0),0),0)</f>
        <v/>
      </c>
      <c r="AM11" s="41">
        <f>IFERROR(IF(AND(AM$5&gt;=$H11,AM$5&lt;=$I11,$D11&gt;0),ROUND(J11*(1-param_PS_LayMortWeekly)^INT((AM$5-$H11)/7)*(param_PS_CobbHDP/100)*7*param_PS_CobbSettableRatio,0),0),0)</f>
        <v/>
      </c>
      <c r="AN11" s="41">
        <f>IFERROR(IF(AND(AN$5&gt;=$H11,AN$5&lt;=$I11,$D11&gt;0),ROUND(J11*(1-param_PS_LayMortWeekly)^INT((AN$5-$H11)/7)*(param_PS_CobbHDP/100)*7*param_PS_CobbSettableRatio,0),0),0)</f>
        <v/>
      </c>
      <c r="AO11" s="41">
        <f>IFERROR(IF(AND(AO$5&gt;=$H11,AO$5&lt;=$I11,$D11&gt;0),ROUND(J11*(1-param_PS_LayMortWeekly)^INT((AO$5-$H11)/7)*(param_PS_CobbHDP/100)*7*param_PS_CobbSettableRatio,0),0),0)</f>
        <v/>
      </c>
      <c r="AP11" s="41">
        <f>IFERROR(IF(AND(AP$5&gt;=$H11,AP$5&lt;=$I11,$D11&gt;0),ROUND(J11*(1-param_PS_LayMortWeekly)^INT((AP$5-$H11)/7)*(param_PS_CobbHDP/100)*7*param_PS_CobbSettableRatio,0),0),0)</f>
        <v/>
      </c>
      <c r="AQ11" s="41">
        <f>IFERROR(IF(AND(AQ$5&gt;=$H11,AQ$5&lt;=$I11,$D11&gt;0),ROUND(J11*(1-param_PS_LayMortWeekly)^INT((AQ$5-$H11)/7)*(param_PS_CobbHDP/100)*7*param_PS_CobbSettableRatio,0),0),0)</f>
        <v/>
      </c>
      <c r="AR11" s="41">
        <f>IFERROR(IF(AND(AR$5&gt;=$H11,AR$5&lt;=$I11,$D11&gt;0),ROUND(J11*(1-param_PS_LayMortWeekly)^INT((AR$5-$H11)/7)*(param_PS_CobbHDP/100)*7*param_PS_CobbSettableRatio,0),0),0)</f>
        <v/>
      </c>
      <c r="AS11" s="41">
        <f>IFERROR(IF(AND(AS$5&gt;=$H11,AS$5&lt;=$I11,$D11&gt;0),ROUND(J11*(1-param_PS_LayMortWeekly)^INT((AS$5-$H11)/7)*(param_PS_CobbHDP/100)*7*param_PS_CobbSettableRatio,0),0),0)</f>
        <v/>
      </c>
      <c r="AT11" s="41">
        <f>IFERROR(IF(AND(AT$5&gt;=$H11,AT$5&lt;=$I11,$D11&gt;0),ROUND(J11*(1-param_PS_LayMortWeekly)^INT((AT$5-$H11)/7)*(param_PS_CobbHDP/100)*7*param_PS_CobbSettableRatio,0),0),0)</f>
        <v/>
      </c>
      <c r="AU11" s="41">
        <f>IFERROR(IF(AND(AU$5&gt;=$H11,AU$5&lt;=$I11,$D11&gt;0),ROUND(J11*(1-param_PS_LayMortWeekly)^INT((AU$5-$H11)/7)*(param_PS_CobbHDP/100)*7*param_PS_CobbSettableRatio,0),0),0)</f>
        <v/>
      </c>
      <c r="AV11" s="41">
        <f>IFERROR(IF(AND(AV$5&gt;=$H11,AV$5&lt;=$I11,$D11&gt;0),ROUND(J11*(1-param_PS_LayMortWeekly)^INT((AV$5-$H11)/7)*(param_PS_CobbHDP/100)*7*param_PS_CobbSettableRatio,0),0),0)</f>
        <v/>
      </c>
      <c r="AW11" s="41">
        <f>IFERROR(IF(AND(AW$5&gt;=$H11,AW$5&lt;=$I11,$D11&gt;0),ROUND(J11*(1-param_PS_LayMortWeekly)^INT((AW$5-$H11)/7)*(param_PS_CobbHDP/100)*7*param_PS_CobbSettableRatio,0),0),0)</f>
        <v/>
      </c>
      <c r="AX11" s="41">
        <f>IFERROR(IF(AND(AX$5&gt;=$H11,AX$5&lt;=$I11,$D11&gt;0),ROUND(J11*(1-param_PS_LayMortWeekly)^INT((AX$5-$H11)/7)*(param_PS_CobbHDP/100)*7*param_PS_CobbSettableRatio,0),0),0)</f>
        <v/>
      </c>
      <c r="AY11" s="41">
        <f>IFERROR(IF(AND(AY$5&gt;=$H11,AY$5&lt;=$I11,$D11&gt;0),ROUND(J11*(1-param_PS_LayMortWeekly)^INT((AY$5-$H11)/7)*(param_PS_CobbHDP/100)*7*param_PS_CobbSettableRatio,0),0),0)</f>
        <v/>
      </c>
      <c r="AZ11" s="41">
        <f>IFERROR(IF(AND(AZ$5&gt;=$H11,AZ$5&lt;=$I11,$D11&gt;0),ROUND(J11*(1-param_PS_LayMortWeekly)^INT((AZ$5-$H11)/7)*(param_PS_CobbHDP/100)*7*param_PS_CobbSettableRatio,0),0),0)</f>
        <v/>
      </c>
      <c r="BA11" s="41">
        <f>IFERROR(IF(AND(BA$5&gt;=$H11,BA$5&lt;=$I11,$D11&gt;0),ROUND(J11*(1-param_PS_LayMortWeekly)^INT((BA$5-$H11)/7)*(param_PS_CobbHDP/100)*7*param_PS_CobbSettableRatio,0),0),0)</f>
        <v/>
      </c>
      <c r="BB11" s="41">
        <f>IFERROR(IF(AND(BB$5&gt;=$H11,BB$5&lt;=$I11,$D11&gt;0),ROUND(J11*(1-param_PS_LayMortWeekly)^INT((BB$5-$H11)/7)*(param_PS_CobbHDP/100)*7*param_PS_CobbSettableRatio,0),0),0)</f>
        <v/>
      </c>
      <c r="BC11" s="41">
        <f>IFERROR(IF(AND(BC$5&gt;=$H11,BC$5&lt;=$I11,$D11&gt;0),ROUND(J11*(1-param_PS_LayMortWeekly)^INT((BC$5-$H11)/7)*(param_PS_CobbHDP/100)*7*param_PS_CobbSettableRatio,0),0),0)</f>
        <v/>
      </c>
      <c r="BD11" s="41">
        <f>IFERROR(IF(AND(BD$5&gt;=$H11,BD$5&lt;=$I11,$D11&gt;0),ROUND(J11*(1-param_PS_LayMortWeekly)^INT((BD$5-$H11)/7)*(param_PS_CobbHDP/100)*7*param_PS_CobbSettableRatio,0),0),0)</f>
        <v/>
      </c>
      <c r="BE11" s="41">
        <f>IFERROR(IF(AND(BE$5&gt;=$H11,BE$5&lt;=$I11,$D11&gt;0),ROUND(J11*(1-param_PS_LayMortWeekly)^INT((BE$5-$H11)/7)*(param_PS_CobbHDP/100)*7*param_PS_CobbSettableRatio,0),0),0)</f>
        <v/>
      </c>
      <c r="BF11" s="41">
        <f>IFERROR(IF(AND(BF$5&gt;=$H11,BF$5&lt;=$I11,$D11&gt;0),ROUND(J11*(1-param_PS_LayMortWeekly)^INT((BF$5-$H11)/7)*(param_PS_CobbHDP/100)*7*param_PS_CobbSettableRatio,0),0),0)</f>
        <v/>
      </c>
      <c r="BG11" s="41">
        <f>IFERROR(IF(AND(BG$5&gt;=$H11,BG$5&lt;=$I11,$D11&gt;0),ROUND(J11*(1-param_PS_LayMortWeekly)^INT((BG$5-$H11)/7)*(param_PS_CobbHDP/100)*7*param_PS_CobbSettableRatio,0),0),0)</f>
        <v/>
      </c>
      <c r="BH11" s="41">
        <f>IFERROR(IF(AND(BH$5&gt;=$H11,BH$5&lt;=$I11,$D11&gt;0),ROUND(J11*(1-param_PS_LayMortWeekly)^INT((BH$5-$H11)/7)*(param_PS_CobbHDP/100)*7*param_PS_CobbSettableRatio,0),0),0)</f>
        <v/>
      </c>
      <c r="BI11" s="41">
        <f>IFERROR(IF(AND(BI$5&gt;=$H11,BI$5&lt;=$I11,$D11&gt;0),ROUND(J11*(1-param_PS_LayMortWeekly)^INT((BI$5-$H11)/7)*(param_PS_CobbHDP/100)*7*param_PS_CobbSettableRatio,0),0),0)</f>
        <v/>
      </c>
      <c r="BJ11" s="41">
        <f>IFERROR(IF(AND(BJ$5&gt;=$H11,BJ$5&lt;=$I11,$D11&gt;0),ROUND(J11*(1-param_PS_LayMortWeekly)^INT((BJ$5-$H11)/7)*(param_PS_CobbHDP/100)*7*param_PS_CobbSettableRatio,0),0),0)</f>
        <v/>
      </c>
    </row>
    <row r="12" ht="16" customHeight="1">
      <c r="A12" s="9" t="inlineStr">
        <is>
          <t>C-6</t>
        </is>
      </c>
      <c r="B12" s="52" t="inlineStr">
        <is>
          <t>Cobb-500</t>
        </is>
      </c>
      <c r="C12" s="10" t="n"/>
      <c r="D12" s="11" t="n"/>
      <c r="E12" s="53">
        <f>"N/A (internal)"</f>
        <v/>
      </c>
      <c r="F12" s="38" t="n"/>
      <c r="G12" s="12">
        <f>IF($D12&gt;0,$C12+param_PS_RearingWeeks*7,"")</f>
        <v/>
      </c>
      <c r="H12" s="12">
        <f>IF($G12&lt;&gt;"",$G12+param_PS_PreLayWeeks*7,"")</f>
        <v/>
      </c>
      <c r="I12" s="12">
        <f>IF($H12&lt;&gt;"",$H12+param_PS_LayingWeeks*7,"")</f>
        <v/>
      </c>
      <c r="J12" s="13">
        <f>IF($D12&gt;0,ROUND($D12*(1-param_PS_RearingMortality)*(1-param_PS_PreLayMortality),0),0)</f>
        <v/>
      </c>
      <c r="K12" s="41">
        <f>IFERROR(IF(AND(K$5&gt;=$H12,K$5&lt;=$I12,$D12&gt;0),ROUND(J12*(1-param_PS_LayMortWeekly)^INT((K$5-$H12)/7)*(param_PS_CobbHDP/100)*7*param_PS_CobbSettableRatio,0),0),0)</f>
        <v/>
      </c>
      <c r="L12" s="41">
        <f>IFERROR(IF(AND(L$5&gt;=$H12,L$5&lt;=$I12,$D12&gt;0),ROUND(J12*(1-param_PS_LayMortWeekly)^INT((L$5-$H12)/7)*(param_PS_CobbHDP/100)*7*param_PS_CobbSettableRatio,0),0),0)</f>
        <v/>
      </c>
      <c r="M12" s="41">
        <f>IFERROR(IF(AND(M$5&gt;=$H12,M$5&lt;=$I12,$D12&gt;0),ROUND(J12*(1-param_PS_LayMortWeekly)^INT((M$5-$H12)/7)*(param_PS_CobbHDP/100)*7*param_PS_CobbSettableRatio,0),0),0)</f>
        <v/>
      </c>
      <c r="N12" s="41">
        <f>IFERROR(IF(AND(N$5&gt;=$H12,N$5&lt;=$I12,$D12&gt;0),ROUND(J12*(1-param_PS_LayMortWeekly)^INT((N$5-$H12)/7)*(param_PS_CobbHDP/100)*7*param_PS_CobbSettableRatio,0),0),0)</f>
        <v/>
      </c>
      <c r="O12" s="41">
        <f>IFERROR(IF(AND(O$5&gt;=$H12,O$5&lt;=$I12,$D12&gt;0),ROUND(J12*(1-param_PS_LayMortWeekly)^INT((O$5-$H12)/7)*(param_PS_CobbHDP/100)*7*param_PS_CobbSettableRatio,0),0),0)</f>
        <v/>
      </c>
      <c r="P12" s="41">
        <f>IFERROR(IF(AND(P$5&gt;=$H12,P$5&lt;=$I12,$D12&gt;0),ROUND(J12*(1-param_PS_LayMortWeekly)^INT((P$5-$H12)/7)*(param_PS_CobbHDP/100)*7*param_PS_CobbSettableRatio,0),0),0)</f>
        <v/>
      </c>
      <c r="Q12" s="41">
        <f>IFERROR(IF(AND(Q$5&gt;=$H12,Q$5&lt;=$I12,$D12&gt;0),ROUND(J12*(1-param_PS_LayMortWeekly)^INT((Q$5-$H12)/7)*(param_PS_CobbHDP/100)*7*param_PS_CobbSettableRatio,0),0),0)</f>
        <v/>
      </c>
      <c r="R12" s="41">
        <f>IFERROR(IF(AND(R$5&gt;=$H12,R$5&lt;=$I12,$D12&gt;0),ROUND(J12*(1-param_PS_LayMortWeekly)^INT((R$5-$H12)/7)*(param_PS_CobbHDP/100)*7*param_PS_CobbSettableRatio,0),0),0)</f>
        <v/>
      </c>
      <c r="S12" s="41">
        <f>IFERROR(IF(AND(S$5&gt;=$H12,S$5&lt;=$I12,$D12&gt;0),ROUND(J12*(1-param_PS_LayMortWeekly)^INT((S$5-$H12)/7)*(param_PS_CobbHDP/100)*7*param_PS_CobbSettableRatio,0),0),0)</f>
        <v/>
      </c>
      <c r="T12" s="41">
        <f>IFERROR(IF(AND(T$5&gt;=$H12,T$5&lt;=$I12,$D12&gt;0),ROUND(J12*(1-param_PS_LayMortWeekly)^INT((T$5-$H12)/7)*(param_PS_CobbHDP/100)*7*param_PS_CobbSettableRatio,0),0),0)</f>
        <v/>
      </c>
      <c r="U12" s="41">
        <f>IFERROR(IF(AND(U$5&gt;=$H12,U$5&lt;=$I12,$D12&gt;0),ROUND(J12*(1-param_PS_LayMortWeekly)^INT((U$5-$H12)/7)*(param_PS_CobbHDP/100)*7*param_PS_CobbSettableRatio,0),0),0)</f>
        <v/>
      </c>
      <c r="V12" s="41">
        <f>IFERROR(IF(AND(V$5&gt;=$H12,V$5&lt;=$I12,$D12&gt;0),ROUND(J12*(1-param_PS_LayMortWeekly)^INT((V$5-$H12)/7)*(param_PS_CobbHDP/100)*7*param_PS_CobbSettableRatio,0),0),0)</f>
        <v/>
      </c>
      <c r="W12" s="41">
        <f>IFERROR(IF(AND(W$5&gt;=$H12,W$5&lt;=$I12,$D12&gt;0),ROUND(J12*(1-param_PS_LayMortWeekly)^INT((W$5-$H12)/7)*(param_PS_CobbHDP/100)*7*param_PS_CobbSettableRatio,0),0),0)</f>
        <v/>
      </c>
      <c r="X12" s="41">
        <f>IFERROR(IF(AND(X$5&gt;=$H12,X$5&lt;=$I12,$D12&gt;0),ROUND(J12*(1-param_PS_LayMortWeekly)^INT((X$5-$H12)/7)*(param_PS_CobbHDP/100)*7*param_PS_CobbSettableRatio,0),0),0)</f>
        <v/>
      </c>
      <c r="Y12" s="41">
        <f>IFERROR(IF(AND(Y$5&gt;=$H12,Y$5&lt;=$I12,$D12&gt;0),ROUND(J12*(1-param_PS_LayMortWeekly)^INT((Y$5-$H12)/7)*(param_PS_CobbHDP/100)*7*param_PS_CobbSettableRatio,0),0),0)</f>
        <v/>
      </c>
      <c r="Z12" s="41">
        <f>IFERROR(IF(AND(Z$5&gt;=$H12,Z$5&lt;=$I12,$D12&gt;0),ROUND(J12*(1-param_PS_LayMortWeekly)^INT((Z$5-$H12)/7)*(param_PS_CobbHDP/100)*7*param_PS_CobbSettableRatio,0),0),0)</f>
        <v/>
      </c>
      <c r="AA12" s="41">
        <f>IFERROR(IF(AND(AA$5&gt;=$H12,AA$5&lt;=$I12,$D12&gt;0),ROUND(J12*(1-param_PS_LayMortWeekly)^INT((AA$5-$H12)/7)*(param_PS_CobbHDP/100)*7*param_PS_CobbSettableRatio,0),0),0)</f>
        <v/>
      </c>
      <c r="AB12" s="41">
        <f>IFERROR(IF(AND(AB$5&gt;=$H12,AB$5&lt;=$I12,$D12&gt;0),ROUND(J12*(1-param_PS_LayMortWeekly)^INT((AB$5-$H12)/7)*(param_PS_CobbHDP/100)*7*param_PS_CobbSettableRatio,0),0),0)</f>
        <v/>
      </c>
      <c r="AC12" s="41">
        <f>IFERROR(IF(AND(AC$5&gt;=$H12,AC$5&lt;=$I12,$D12&gt;0),ROUND(J12*(1-param_PS_LayMortWeekly)^INT((AC$5-$H12)/7)*(param_PS_CobbHDP/100)*7*param_PS_CobbSettableRatio,0),0),0)</f>
        <v/>
      </c>
      <c r="AD12" s="41">
        <f>IFERROR(IF(AND(AD$5&gt;=$H12,AD$5&lt;=$I12,$D12&gt;0),ROUND(J12*(1-param_PS_LayMortWeekly)^INT((AD$5-$H12)/7)*(param_PS_CobbHDP/100)*7*param_PS_CobbSettableRatio,0),0),0)</f>
        <v/>
      </c>
      <c r="AE12" s="41">
        <f>IFERROR(IF(AND(AE$5&gt;=$H12,AE$5&lt;=$I12,$D12&gt;0),ROUND(J12*(1-param_PS_LayMortWeekly)^INT((AE$5-$H12)/7)*(param_PS_CobbHDP/100)*7*param_PS_CobbSettableRatio,0),0),0)</f>
        <v/>
      </c>
      <c r="AF12" s="41">
        <f>IFERROR(IF(AND(AF$5&gt;=$H12,AF$5&lt;=$I12,$D12&gt;0),ROUND(J12*(1-param_PS_LayMortWeekly)^INT((AF$5-$H12)/7)*(param_PS_CobbHDP/100)*7*param_PS_CobbSettableRatio,0),0),0)</f>
        <v/>
      </c>
      <c r="AG12" s="41">
        <f>IFERROR(IF(AND(AG$5&gt;=$H12,AG$5&lt;=$I12,$D12&gt;0),ROUND(J12*(1-param_PS_LayMortWeekly)^INT((AG$5-$H12)/7)*(param_PS_CobbHDP/100)*7*param_PS_CobbSettableRatio,0),0),0)</f>
        <v/>
      </c>
      <c r="AH12" s="41">
        <f>IFERROR(IF(AND(AH$5&gt;=$H12,AH$5&lt;=$I12,$D12&gt;0),ROUND(J12*(1-param_PS_LayMortWeekly)^INT((AH$5-$H12)/7)*(param_PS_CobbHDP/100)*7*param_PS_CobbSettableRatio,0),0),0)</f>
        <v/>
      </c>
      <c r="AI12" s="41">
        <f>IFERROR(IF(AND(AI$5&gt;=$H12,AI$5&lt;=$I12,$D12&gt;0),ROUND(J12*(1-param_PS_LayMortWeekly)^INT((AI$5-$H12)/7)*(param_PS_CobbHDP/100)*7*param_PS_CobbSettableRatio,0),0),0)</f>
        <v/>
      </c>
      <c r="AJ12" s="41">
        <f>IFERROR(IF(AND(AJ$5&gt;=$H12,AJ$5&lt;=$I12,$D12&gt;0),ROUND(J12*(1-param_PS_LayMortWeekly)^INT((AJ$5-$H12)/7)*(param_PS_CobbHDP/100)*7*param_PS_CobbSettableRatio,0),0),0)</f>
        <v/>
      </c>
      <c r="AK12" s="41">
        <f>IFERROR(IF(AND(AK$5&gt;=$H12,AK$5&lt;=$I12,$D12&gt;0),ROUND(J12*(1-param_PS_LayMortWeekly)^INT((AK$5-$H12)/7)*(param_PS_CobbHDP/100)*7*param_PS_CobbSettableRatio,0),0),0)</f>
        <v/>
      </c>
      <c r="AL12" s="41">
        <f>IFERROR(IF(AND(AL$5&gt;=$H12,AL$5&lt;=$I12,$D12&gt;0),ROUND(J12*(1-param_PS_LayMortWeekly)^INT((AL$5-$H12)/7)*(param_PS_CobbHDP/100)*7*param_PS_CobbSettableRatio,0),0),0)</f>
        <v/>
      </c>
      <c r="AM12" s="41">
        <f>IFERROR(IF(AND(AM$5&gt;=$H12,AM$5&lt;=$I12,$D12&gt;0),ROUND(J12*(1-param_PS_LayMortWeekly)^INT((AM$5-$H12)/7)*(param_PS_CobbHDP/100)*7*param_PS_CobbSettableRatio,0),0),0)</f>
        <v/>
      </c>
      <c r="AN12" s="41">
        <f>IFERROR(IF(AND(AN$5&gt;=$H12,AN$5&lt;=$I12,$D12&gt;0),ROUND(J12*(1-param_PS_LayMortWeekly)^INT((AN$5-$H12)/7)*(param_PS_CobbHDP/100)*7*param_PS_CobbSettableRatio,0),0),0)</f>
        <v/>
      </c>
      <c r="AO12" s="41">
        <f>IFERROR(IF(AND(AO$5&gt;=$H12,AO$5&lt;=$I12,$D12&gt;0),ROUND(J12*(1-param_PS_LayMortWeekly)^INT((AO$5-$H12)/7)*(param_PS_CobbHDP/100)*7*param_PS_CobbSettableRatio,0),0),0)</f>
        <v/>
      </c>
      <c r="AP12" s="41">
        <f>IFERROR(IF(AND(AP$5&gt;=$H12,AP$5&lt;=$I12,$D12&gt;0),ROUND(J12*(1-param_PS_LayMortWeekly)^INT((AP$5-$H12)/7)*(param_PS_CobbHDP/100)*7*param_PS_CobbSettableRatio,0),0),0)</f>
        <v/>
      </c>
      <c r="AQ12" s="41">
        <f>IFERROR(IF(AND(AQ$5&gt;=$H12,AQ$5&lt;=$I12,$D12&gt;0),ROUND(J12*(1-param_PS_LayMortWeekly)^INT((AQ$5-$H12)/7)*(param_PS_CobbHDP/100)*7*param_PS_CobbSettableRatio,0),0),0)</f>
        <v/>
      </c>
      <c r="AR12" s="41">
        <f>IFERROR(IF(AND(AR$5&gt;=$H12,AR$5&lt;=$I12,$D12&gt;0),ROUND(J12*(1-param_PS_LayMortWeekly)^INT((AR$5-$H12)/7)*(param_PS_CobbHDP/100)*7*param_PS_CobbSettableRatio,0),0),0)</f>
        <v/>
      </c>
      <c r="AS12" s="41">
        <f>IFERROR(IF(AND(AS$5&gt;=$H12,AS$5&lt;=$I12,$D12&gt;0),ROUND(J12*(1-param_PS_LayMortWeekly)^INT((AS$5-$H12)/7)*(param_PS_CobbHDP/100)*7*param_PS_CobbSettableRatio,0),0),0)</f>
        <v/>
      </c>
      <c r="AT12" s="41">
        <f>IFERROR(IF(AND(AT$5&gt;=$H12,AT$5&lt;=$I12,$D12&gt;0),ROUND(J12*(1-param_PS_LayMortWeekly)^INT((AT$5-$H12)/7)*(param_PS_CobbHDP/100)*7*param_PS_CobbSettableRatio,0),0),0)</f>
        <v/>
      </c>
      <c r="AU12" s="41">
        <f>IFERROR(IF(AND(AU$5&gt;=$H12,AU$5&lt;=$I12,$D12&gt;0),ROUND(J12*(1-param_PS_LayMortWeekly)^INT((AU$5-$H12)/7)*(param_PS_CobbHDP/100)*7*param_PS_CobbSettableRatio,0),0),0)</f>
        <v/>
      </c>
      <c r="AV12" s="41">
        <f>IFERROR(IF(AND(AV$5&gt;=$H12,AV$5&lt;=$I12,$D12&gt;0),ROUND(J12*(1-param_PS_LayMortWeekly)^INT((AV$5-$H12)/7)*(param_PS_CobbHDP/100)*7*param_PS_CobbSettableRatio,0),0),0)</f>
        <v/>
      </c>
      <c r="AW12" s="41">
        <f>IFERROR(IF(AND(AW$5&gt;=$H12,AW$5&lt;=$I12,$D12&gt;0),ROUND(J12*(1-param_PS_LayMortWeekly)^INT((AW$5-$H12)/7)*(param_PS_CobbHDP/100)*7*param_PS_CobbSettableRatio,0),0),0)</f>
        <v/>
      </c>
      <c r="AX12" s="41">
        <f>IFERROR(IF(AND(AX$5&gt;=$H12,AX$5&lt;=$I12,$D12&gt;0),ROUND(J12*(1-param_PS_LayMortWeekly)^INT((AX$5-$H12)/7)*(param_PS_CobbHDP/100)*7*param_PS_CobbSettableRatio,0),0),0)</f>
        <v/>
      </c>
      <c r="AY12" s="41">
        <f>IFERROR(IF(AND(AY$5&gt;=$H12,AY$5&lt;=$I12,$D12&gt;0),ROUND(J12*(1-param_PS_LayMortWeekly)^INT((AY$5-$H12)/7)*(param_PS_CobbHDP/100)*7*param_PS_CobbSettableRatio,0),0),0)</f>
        <v/>
      </c>
      <c r="AZ12" s="41">
        <f>IFERROR(IF(AND(AZ$5&gt;=$H12,AZ$5&lt;=$I12,$D12&gt;0),ROUND(J12*(1-param_PS_LayMortWeekly)^INT((AZ$5-$H12)/7)*(param_PS_CobbHDP/100)*7*param_PS_CobbSettableRatio,0),0),0)</f>
        <v/>
      </c>
      <c r="BA12" s="41">
        <f>IFERROR(IF(AND(BA$5&gt;=$H12,BA$5&lt;=$I12,$D12&gt;0),ROUND(J12*(1-param_PS_LayMortWeekly)^INT((BA$5-$H12)/7)*(param_PS_CobbHDP/100)*7*param_PS_CobbSettableRatio,0),0),0)</f>
        <v/>
      </c>
      <c r="BB12" s="41">
        <f>IFERROR(IF(AND(BB$5&gt;=$H12,BB$5&lt;=$I12,$D12&gt;0),ROUND(J12*(1-param_PS_LayMortWeekly)^INT((BB$5-$H12)/7)*(param_PS_CobbHDP/100)*7*param_PS_CobbSettableRatio,0),0),0)</f>
        <v/>
      </c>
      <c r="BC12" s="41">
        <f>IFERROR(IF(AND(BC$5&gt;=$H12,BC$5&lt;=$I12,$D12&gt;0),ROUND(J12*(1-param_PS_LayMortWeekly)^INT((BC$5-$H12)/7)*(param_PS_CobbHDP/100)*7*param_PS_CobbSettableRatio,0),0),0)</f>
        <v/>
      </c>
      <c r="BD12" s="41">
        <f>IFERROR(IF(AND(BD$5&gt;=$H12,BD$5&lt;=$I12,$D12&gt;0),ROUND(J12*(1-param_PS_LayMortWeekly)^INT((BD$5-$H12)/7)*(param_PS_CobbHDP/100)*7*param_PS_CobbSettableRatio,0),0),0)</f>
        <v/>
      </c>
      <c r="BE12" s="41">
        <f>IFERROR(IF(AND(BE$5&gt;=$H12,BE$5&lt;=$I12,$D12&gt;0),ROUND(J12*(1-param_PS_LayMortWeekly)^INT((BE$5-$H12)/7)*(param_PS_CobbHDP/100)*7*param_PS_CobbSettableRatio,0),0),0)</f>
        <v/>
      </c>
      <c r="BF12" s="41">
        <f>IFERROR(IF(AND(BF$5&gt;=$H12,BF$5&lt;=$I12,$D12&gt;0),ROUND(J12*(1-param_PS_LayMortWeekly)^INT((BF$5-$H12)/7)*(param_PS_CobbHDP/100)*7*param_PS_CobbSettableRatio,0),0),0)</f>
        <v/>
      </c>
      <c r="BG12" s="41">
        <f>IFERROR(IF(AND(BG$5&gt;=$H12,BG$5&lt;=$I12,$D12&gt;0),ROUND(J12*(1-param_PS_LayMortWeekly)^INT((BG$5-$H12)/7)*(param_PS_CobbHDP/100)*7*param_PS_CobbSettableRatio,0),0),0)</f>
        <v/>
      </c>
      <c r="BH12" s="41">
        <f>IFERROR(IF(AND(BH$5&gt;=$H12,BH$5&lt;=$I12,$D12&gt;0),ROUND(J12*(1-param_PS_LayMortWeekly)^INT((BH$5-$H12)/7)*(param_PS_CobbHDP/100)*7*param_PS_CobbSettableRatio,0),0),0)</f>
        <v/>
      </c>
      <c r="BI12" s="41">
        <f>IFERROR(IF(AND(BI$5&gt;=$H12,BI$5&lt;=$I12,$D12&gt;0),ROUND(J12*(1-param_PS_LayMortWeekly)^INT((BI$5-$H12)/7)*(param_PS_CobbHDP/100)*7*param_PS_CobbSettableRatio,0),0),0)</f>
        <v/>
      </c>
      <c r="BJ12" s="41">
        <f>IFERROR(IF(AND(BJ$5&gt;=$H12,BJ$5&lt;=$I12,$D12&gt;0),ROUND(J12*(1-param_PS_LayMortWeekly)^INT((BJ$5-$H12)/7)*(param_PS_CobbHDP/100)*7*param_PS_CobbSettableRatio,0),0),0)</f>
        <v/>
      </c>
    </row>
    <row r="13" ht="16" customHeight="1">
      <c r="A13" s="54" t="inlineStr">
        <is>
          <t>TOTAL — Cobb PS Settable Eggs  → feeds Tab 4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  <c r="K13" s="55">
        <f>IFERROR(K7+K8+K9+K10+K11+K12,0)</f>
        <v/>
      </c>
      <c r="L13" s="55">
        <f>IFERROR(L7+L8+L9+L10+L11+L12,0)</f>
        <v/>
      </c>
      <c r="M13" s="55">
        <f>IFERROR(M7+M8+M9+M10+M11+M12,0)</f>
        <v/>
      </c>
      <c r="N13" s="55">
        <f>IFERROR(N7+N8+N9+N10+N11+N12,0)</f>
        <v/>
      </c>
      <c r="O13" s="55">
        <f>IFERROR(O7+O8+O9+O10+O11+O12,0)</f>
        <v/>
      </c>
      <c r="P13" s="55">
        <f>IFERROR(P7+P8+P9+P10+P11+P12,0)</f>
        <v/>
      </c>
      <c r="Q13" s="55">
        <f>IFERROR(Q7+Q8+Q9+Q10+Q11+Q12,0)</f>
        <v/>
      </c>
      <c r="R13" s="55">
        <f>IFERROR(R7+R8+R9+R10+R11+R12,0)</f>
        <v/>
      </c>
      <c r="S13" s="55">
        <f>IFERROR(S7+S8+S9+S10+S11+S12,0)</f>
        <v/>
      </c>
      <c r="T13" s="55">
        <f>IFERROR(T7+T8+T9+T10+T11+T12,0)</f>
        <v/>
      </c>
      <c r="U13" s="55">
        <f>IFERROR(U7+U8+U9+U10+U11+U12,0)</f>
        <v/>
      </c>
      <c r="V13" s="55">
        <f>IFERROR(V7+V8+V9+V10+V11+V12,0)</f>
        <v/>
      </c>
      <c r="W13" s="55">
        <f>IFERROR(W7+W8+W9+W10+W11+W12,0)</f>
        <v/>
      </c>
      <c r="X13" s="55">
        <f>IFERROR(X7+X8+X9+X10+X11+X12,0)</f>
        <v/>
      </c>
      <c r="Y13" s="55">
        <f>IFERROR(Y7+Y8+Y9+Y10+Y11+Y12,0)</f>
        <v/>
      </c>
      <c r="Z13" s="55">
        <f>IFERROR(Z7+Z8+Z9+Z10+Z11+Z12,0)</f>
        <v/>
      </c>
      <c r="AA13" s="55">
        <f>IFERROR(AA7+AA8+AA9+AA10+AA11+AA12,0)</f>
        <v/>
      </c>
      <c r="AB13" s="55">
        <f>IFERROR(AB7+AB8+AB9+AB10+AB11+AB12,0)</f>
        <v/>
      </c>
      <c r="AC13" s="55">
        <f>IFERROR(AC7+AC8+AC9+AC10+AC11+AC12,0)</f>
        <v/>
      </c>
      <c r="AD13" s="55">
        <f>IFERROR(AD7+AD8+AD9+AD10+AD11+AD12,0)</f>
        <v/>
      </c>
      <c r="AE13" s="55">
        <f>IFERROR(AE7+AE8+AE9+AE10+AE11+AE12,0)</f>
        <v/>
      </c>
      <c r="AF13" s="55">
        <f>IFERROR(AF7+AF8+AF9+AF10+AF11+AF12,0)</f>
        <v/>
      </c>
      <c r="AG13" s="55">
        <f>IFERROR(AG7+AG8+AG9+AG10+AG11+AG12,0)</f>
        <v/>
      </c>
      <c r="AH13" s="55">
        <f>IFERROR(AH7+AH8+AH9+AH10+AH11+AH12,0)</f>
        <v/>
      </c>
      <c r="AI13" s="55">
        <f>IFERROR(AI7+AI8+AI9+AI10+AI11+AI12,0)</f>
        <v/>
      </c>
      <c r="AJ13" s="55">
        <f>IFERROR(AJ7+AJ8+AJ9+AJ10+AJ11+AJ12,0)</f>
        <v/>
      </c>
      <c r="AK13" s="55">
        <f>IFERROR(AK7+AK8+AK9+AK10+AK11+AK12,0)</f>
        <v/>
      </c>
      <c r="AL13" s="55">
        <f>IFERROR(AL7+AL8+AL9+AL10+AL11+AL12,0)</f>
        <v/>
      </c>
      <c r="AM13" s="55">
        <f>IFERROR(AM7+AM8+AM9+AM10+AM11+AM12,0)</f>
        <v/>
      </c>
      <c r="AN13" s="55">
        <f>IFERROR(AN7+AN8+AN9+AN10+AN11+AN12,0)</f>
        <v/>
      </c>
      <c r="AO13" s="55">
        <f>IFERROR(AO7+AO8+AO9+AO10+AO11+AO12,0)</f>
        <v/>
      </c>
      <c r="AP13" s="55">
        <f>IFERROR(AP7+AP8+AP9+AP10+AP11+AP12,0)</f>
        <v/>
      </c>
      <c r="AQ13" s="55">
        <f>IFERROR(AQ7+AQ8+AQ9+AQ10+AQ11+AQ12,0)</f>
        <v/>
      </c>
      <c r="AR13" s="55">
        <f>IFERROR(AR7+AR8+AR9+AR10+AR11+AR12,0)</f>
        <v/>
      </c>
      <c r="AS13" s="55">
        <f>IFERROR(AS7+AS8+AS9+AS10+AS11+AS12,0)</f>
        <v/>
      </c>
      <c r="AT13" s="55">
        <f>IFERROR(AT7+AT8+AT9+AT10+AT11+AT12,0)</f>
        <v/>
      </c>
      <c r="AU13" s="55">
        <f>IFERROR(AU7+AU8+AU9+AU10+AU11+AU12,0)</f>
        <v/>
      </c>
      <c r="AV13" s="55">
        <f>IFERROR(AV7+AV8+AV9+AV10+AV11+AV12,0)</f>
        <v/>
      </c>
      <c r="AW13" s="55">
        <f>IFERROR(AW7+AW8+AW9+AW10+AW11+AW12,0)</f>
        <v/>
      </c>
      <c r="AX13" s="55">
        <f>IFERROR(AX7+AX8+AX9+AX10+AX11+AX12,0)</f>
        <v/>
      </c>
      <c r="AY13" s="55">
        <f>IFERROR(AY7+AY8+AY9+AY10+AY11+AY12,0)</f>
        <v/>
      </c>
      <c r="AZ13" s="55">
        <f>IFERROR(AZ7+AZ8+AZ9+AZ10+AZ11+AZ12,0)</f>
        <v/>
      </c>
      <c r="BA13" s="55">
        <f>IFERROR(BA7+BA8+BA9+BA10+BA11+BA12,0)</f>
        <v/>
      </c>
      <c r="BB13" s="55">
        <f>IFERROR(BB7+BB8+BB9+BB10+BB11+BB12,0)</f>
        <v/>
      </c>
      <c r="BC13" s="55">
        <f>IFERROR(BC7+BC8+BC9+BC10+BC11+BC12,0)</f>
        <v/>
      </c>
      <c r="BD13" s="55">
        <f>IFERROR(BD7+BD8+BD9+BD10+BD11+BD12,0)</f>
        <v/>
      </c>
      <c r="BE13" s="55">
        <f>IFERROR(BE7+BE8+BE9+BE10+BE11+BE12,0)</f>
        <v/>
      </c>
      <c r="BF13" s="55">
        <f>IFERROR(BF7+BF8+BF9+BF10+BF11+BF12,0)</f>
        <v/>
      </c>
      <c r="BG13" s="55">
        <f>IFERROR(BG7+BG8+BG9+BG10+BG11+BG12,0)</f>
        <v/>
      </c>
      <c r="BH13" s="55">
        <f>IFERROR(BH7+BH8+BH9+BH10+BH11+BH12,0)</f>
        <v/>
      </c>
      <c r="BI13" s="55">
        <f>IFERROR(BI7+BI8+BI9+BI10+BI11+BI12,0)</f>
        <v/>
      </c>
      <c r="BJ13" s="55">
        <f>IFERROR(BJ7+BJ8+BJ9+BJ10+BJ11+BJ12,0)</f>
        <v/>
      </c>
    </row>
    <row r="14" ht="5" customHeight="1">
      <c r="A14" s="20" t="n"/>
    </row>
    <row r="15" ht="18" customHeight="1">
      <c r="A15" s="56" t="inlineStr">
        <is>
          <t xml:space="preserve">  ● ROSS-308 PS — External Supplier  |  PO Lead Time: 52 weeks  |  Plant 1230 (Rearing, shared) → Plant 1220 (Laying, shared)</t>
        </is>
      </c>
    </row>
    <row r="16" ht="28" customHeight="1">
      <c r="A16" s="57" t="inlineStr">
        <is>
          <t>Batch #</t>
        </is>
      </c>
      <c r="B16" s="57" t="inlineStr">
        <is>
          <t>Breed</t>
        </is>
      </c>
      <c r="C16" s="57" t="inlineStr">
        <is>
          <t>Arrival /
Placement Date</t>
        </is>
      </c>
      <c r="D16" s="57" t="inlineStr">
        <is>
          <t>Head Count
(DOC)</t>
        </is>
      </c>
      <c r="E16" s="57" t="inlineStr">
        <is>
          <t>PO Date
(Ross only — auto)</t>
        </is>
      </c>
      <c r="F16" s="57" t="inlineStr">
        <is>
          <t>PO Alert</t>
        </is>
      </c>
      <c r="G16" s="57" t="inlineStr">
        <is>
          <t>Rearing End
(auto)</t>
        </is>
      </c>
      <c r="H16" s="57" t="inlineStr">
        <is>
          <t>Laying Start
(auto)</t>
        </is>
      </c>
      <c r="I16" s="57" t="inlineStr">
        <is>
          <t>Laying End /
Depop (auto)</t>
        </is>
      </c>
      <c r="J16" s="57" t="inlineStr">
        <is>
          <t>Hens at
Lay Start (auto)</t>
        </is>
      </c>
      <c r="K16" s="58" t="inlineStr">
        <is>
          <t>◀  WEEKLY PS SETTABLE HATCHING EGGS  (eggs / week)  ▶</t>
        </is>
      </c>
    </row>
    <row r="17" ht="14" customHeight="1">
      <c r="K17" s="51">
        <f>param_PlanStartDate+0</f>
        <v/>
      </c>
      <c r="L17" s="51">
        <f>param_PlanStartDate+7</f>
        <v/>
      </c>
      <c r="M17" s="51">
        <f>param_PlanStartDate+14</f>
        <v/>
      </c>
      <c r="N17" s="51">
        <f>param_PlanStartDate+21</f>
        <v/>
      </c>
      <c r="O17" s="51">
        <f>param_PlanStartDate+28</f>
        <v/>
      </c>
      <c r="P17" s="51">
        <f>param_PlanStartDate+35</f>
        <v/>
      </c>
      <c r="Q17" s="51">
        <f>param_PlanStartDate+42</f>
        <v/>
      </c>
      <c r="R17" s="51">
        <f>param_PlanStartDate+49</f>
        <v/>
      </c>
      <c r="S17" s="51">
        <f>param_PlanStartDate+56</f>
        <v/>
      </c>
      <c r="T17" s="51">
        <f>param_PlanStartDate+63</f>
        <v/>
      </c>
      <c r="U17" s="51">
        <f>param_PlanStartDate+70</f>
        <v/>
      </c>
      <c r="V17" s="51">
        <f>param_PlanStartDate+77</f>
        <v/>
      </c>
      <c r="W17" s="51">
        <f>param_PlanStartDate+84</f>
        <v/>
      </c>
      <c r="X17" s="51">
        <f>param_PlanStartDate+91</f>
        <v/>
      </c>
      <c r="Y17" s="51">
        <f>param_PlanStartDate+98</f>
        <v/>
      </c>
      <c r="Z17" s="51">
        <f>param_PlanStartDate+105</f>
        <v/>
      </c>
      <c r="AA17" s="51">
        <f>param_PlanStartDate+112</f>
        <v/>
      </c>
      <c r="AB17" s="51">
        <f>param_PlanStartDate+119</f>
        <v/>
      </c>
      <c r="AC17" s="51">
        <f>param_PlanStartDate+126</f>
        <v/>
      </c>
      <c r="AD17" s="51">
        <f>param_PlanStartDate+133</f>
        <v/>
      </c>
      <c r="AE17" s="51">
        <f>param_PlanStartDate+140</f>
        <v/>
      </c>
      <c r="AF17" s="51">
        <f>param_PlanStartDate+147</f>
        <v/>
      </c>
      <c r="AG17" s="51">
        <f>param_PlanStartDate+154</f>
        <v/>
      </c>
      <c r="AH17" s="51">
        <f>param_PlanStartDate+161</f>
        <v/>
      </c>
      <c r="AI17" s="51">
        <f>param_PlanStartDate+168</f>
        <v/>
      </c>
      <c r="AJ17" s="51">
        <f>param_PlanStartDate+175</f>
        <v/>
      </c>
      <c r="AK17" s="51">
        <f>param_PlanStartDate+182</f>
        <v/>
      </c>
      <c r="AL17" s="51">
        <f>param_PlanStartDate+189</f>
        <v/>
      </c>
      <c r="AM17" s="51">
        <f>param_PlanStartDate+196</f>
        <v/>
      </c>
      <c r="AN17" s="51">
        <f>param_PlanStartDate+203</f>
        <v/>
      </c>
      <c r="AO17" s="51">
        <f>param_PlanStartDate+210</f>
        <v/>
      </c>
      <c r="AP17" s="51">
        <f>param_PlanStartDate+217</f>
        <v/>
      </c>
      <c r="AQ17" s="51">
        <f>param_PlanStartDate+224</f>
        <v/>
      </c>
      <c r="AR17" s="51">
        <f>param_PlanStartDate+231</f>
        <v/>
      </c>
      <c r="AS17" s="51">
        <f>param_PlanStartDate+238</f>
        <v/>
      </c>
      <c r="AT17" s="51">
        <f>param_PlanStartDate+245</f>
        <v/>
      </c>
      <c r="AU17" s="51">
        <f>param_PlanStartDate+252</f>
        <v/>
      </c>
      <c r="AV17" s="51">
        <f>param_PlanStartDate+259</f>
        <v/>
      </c>
      <c r="AW17" s="51">
        <f>param_PlanStartDate+266</f>
        <v/>
      </c>
      <c r="AX17" s="51">
        <f>param_PlanStartDate+273</f>
        <v/>
      </c>
      <c r="AY17" s="51">
        <f>param_PlanStartDate+280</f>
        <v/>
      </c>
      <c r="AZ17" s="51">
        <f>param_PlanStartDate+287</f>
        <v/>
      </c>
      <c r="BA17" s="51">
        <f>param_PlanStartDate+294</f>
        <v/>
      </c>
      <c r="BB17" s="51">
        <f>param_PlanStartDate+301</f>
        <v/>
      </c>
      <c r="BC17" s="51">
        <f>param_PlanStartDate+308</f>
        <v/>
      </c>
      <c r="BD17" s="51">
        <f>param_PlanStartDate+315</f>
        <v/>
      </c>
      <c r="BE17" s="51">
        <f>param_PlanStartDate+322</f>
        <v/>
      </c>
      <c r="BF17" s="51">
        <f>param_PlanStartDate+329</f>
        <v/>
      </c>
      <c r="BG17" s="51">
        <f>param_PlanStartDate+336</f>
        <v/>
      </c>
      <c r="BH17" s="51">
        <f>param_PlanStartDate+343</f>
        <v/>
      </c>
      <c r="BI17" s="51">
        <f>param_PlanStartDate+350</f>
        <v/>
      </c>
      <c r="BJ17" s="51">
        <f>param_PlanStartDate+357</f>
        <v/>
      </c>
    </row>
    <row r="18" ht="14" customHeight="1">
      <c r="K18" s="8" t="inlineStr">
        <is>
          <t>Wk 1</t>
        </is>
      </c>
      <c r="L18" s="8" t="inlineStr">
        <is>
          <t>Wk 2</t>
        </is>
      </c>
      <c r="M18" s="8" t="inlineStr">
        <is>
          <t>Wk 3</t>
        </is>
      </c>
      <c r="N18" s="8" t="inlineStr">
        <is>
          <t>Wk 4</t>
        </is>
      </c>
      <c r="O18" s="8" t="inlineStr">
        <is>
          <t>Wk 5</t>
        </is>
      </c>
      <c r="P18" s="8" t="inlineStr">
        <is>
          <t>Wk 6</t>
        </is>
      </c>
      <c r="Q18" s="8" t="inlineStr">
        <is>
          <t>Wk 7</t>
        </is>
      </c>
      <c r="R18" s="8" t="inlineStr">
        <is>
          <t>Wk 8</t>
        </is>
      </c>
      <c r="S18" s="8" t="inlineStr">
        <is>
          <t>Wk 9</t>
        </is>
      </c>
      <c r="T18" s="8" t="inlineStr">
        <is>
          <t>Wk 10</t>
        </is>
      </c>
      <c r="U18" s="8" t="inlineStr">
        <is>
          <t>Wk 11</t>
        </is>
      </c>
      <c r="V18" s="8" t="inlineStr">
        <is>
          <t>Wk 12</t>
        </is>
      </c>
      <c r="W18" s="8" t="inlineStr">
        <is>
          <t>Wk 13</t>
        </is>
      </c>
      <c r="X18" s="8" t="inlineStr">
        <is>
          <t>Wk 14</t>
        </is>
      </c>
      <c r="Y18" s="8" t="inlineStr">
        <is>
          <t>Wk 15</t>
        </is>
      </c>
      <c r="Z18" s="8" t="inlineStr">
        <is>
          <t>Wk 16</t>
        </is>
      </c>
      <c r="AA18" s="8" t="inlineStr">
        <is>
          <t>Wk 17</t>
        </is>
      </c>
      <c r="AB18" s="8" t="inlineStr">
        <is>
          <t>Wk 18</t>
        </is>
      </c>
      <c r="AC18" s="8" t="inlineStr">
        <is>
          <t>Wk 19</t>
        </is>
      </c>
      <c r="AD18" s="8" t="inlineStr">
        <is>
          <t>Wk 20</t>
        </is>
      </c>
      <c r="AE18" s="8" t="inlineStr">
        <is>
          <t>Wk 21</t>
        </is>
      </c>
      <c r="AF18" s="8" t="inlineStr">
        <is>
          <t>Wk 22</t>
        </is>
      </c>
      <c r="AG18" s="8" t="inlineStr">
        <is>
          <t>Wk 23</t>
        </is>
      </c>
      <c r="AH18" s="8" t="inlineStr">
        <is>
          <t>Wk 24</t>
        </is>
      </c>
      <c r="AI18" s="8" t="inlineStr">
        <is>
          <t>Wk 25</t>
        </is>
      </c>
      <c r="AJ18" s="8" t="inlineStr">
        <is>
          <t>Wk 26</t>
        </is>
      </c>
      <c r="AK18" s="8" t="inlineStr">
        <is>
          <t>Wk 27</t>
        </is>
      </c>
      <c r="AL18" s="8" t="inlineStr">
        <is>
          <t>Wk 28</t>
        </is>
      </c>
      <c r="AM18" s="8" t="inlineStr">
        <is>
          <t>Wk 29</t>
        </is>
      </c>
      <c r="AN18" s="8" t="inlineStr">
        <is>
          <t>Wk 30</t>
        </is>
      </c>
      <c r="AO18" s="8" t="inlineStr">
        <is>
          <t>Wk 31</t>
        </is>
      </c>
      <c r="AP18" s="8" t="inlineStr">
        <is>
          <t>Wk 32</t>
        </is>
      </c>
      <c r="AQ18" s="8" t="inlineStr">
        <is>
          <t>Wk 33</t>
        </is>
      </c>
      <c r="AR18" s="8" t="inlineStr">
        <is>
          <t>Wk 34</t>
        </is>
      </c>
      <c r="AS18" s="8" t="inlineStr">
        <is>
          <t>Wk 35</t>
        </is>
      </c>
      <c r="AT18" s="8" t="inlineStr">
        <is>
          <t>Wk 36</t>
        </is>
      </c>
      <c r="AU18" s="8" t="inlineStr">
        <is>
          <t>Wk 37</t>
        </is>
      </c>
      <c r="AV18" s="8" t="inlineStr">
        <is>
          <t>Wk 38</t>
        </is>
      </c>
      <c r="AW18" s="8" t="inlineStr">
        <is>
          <t>Wk 39</t>
        </is>
      </c>
      <c r="AX18" s="8" t="inlineStr">
        <is>
          <t>Wk 40</t>
        </is>
      </c>
      <c r="AY18" s="8" t="inlineStr">
        <is>
          <t>Wk 41</t>
        </is>
      </c>
      <c r="AZ18" s="8" t="inlineStr">
        <is>
          <t>Wk 42</t>
        </is>
      </c>
      <c r="BA18" s="8" t="inlineStr">
        <is>
          <t>Wk 43</t>
        </is>
      </c>
      <c r="BB18" s="8" t="inlineStr">
        <is>
          <t>Wk 44</t>
        </is>
      </c>
      <c r="BC18" s="8" t="inlineStr">
        <is>
          <t>Wk 45</t>
        </is>
      </c>
      <c r="BD18" s="8" t="inlineStr">
        <is>
          <t>Wk 46</t>
        </is>
      </c>
      <c r="BE18" s="8" t="inlineStr">
        <is>
          <t>Wk 47</t>
        </is>
      </c>
      <c r="BF18" s="8" t="inlineStr">
        <is>
          <t>Wk 48</t>
        </is>
      </c>
      <c r="BG18" s="8" t="inlineStr">
        <is>
          <t>Wk 49</t>
        </is>
      </c>
      <c r="BH18" s="8" t="inlineStr">
        <is>
          <t>Wk 50</t>
        </is>
      </c>
      <c r="BI18" s="8" t="inlineStr">
        <is>
          <t>Wk 51</t>
        </is>
      </c>
      <c r="BJ18" s="8" t="inlineStr">
        <is>
          <t>Wk 52</t>
        </is>
      </c>
    </row>
    <row r="19" ht="16" customHeight="1">
      <c r="A19" s="59" t="inlineStr">
        <is>
          <t>R-1</t>
        </is>
      </c>
      <c r="B19" s="60" t="inlineStr">
        <is>
          <t>Ross-308</t>
        </is>
      </c>
      <c r="C19" s="10" t="n"/>
      <c r="D19" s="11" t="n"/>
      <c r="E19" s="61">
        <f>IF($C19&gt;0,$C19-param_RossPO_LeadWeeks*7,"")</f>
        <v/>
      </c>
      <c r="F19" s="62">
        <f>IF(AND($E19&lt;&gt;"",$E19&lt;=TODAY()+56),"⚠ ACTION REQUIRED","")</f>
        <v/>
      </c>
      <c r="G19" s="12">
        <f>IF($D19&gt;0,$C19+param_PS_RearingWeeks*7,"")</f>
        <v/>
      </c>
      <c r="H19" s="12">
        <f>IF($G19&lt;&gt;"",$G19+param_PS_PreLayWeeks*7,"")</f>
        <v/>
      </c>
      <c r="I19" s="12">
        <f>IF($H19&lt;&gt;"",$H19+param_PS_LayingWeeks*7,"")</f>
        <v/>
      </c>
      <c r="J19" s="13">
        <f>IF($D19&gt;0,ROUND($D19*(1-param_PS_RearingMortality)*(1-param_PS_PreLayMortality),0),0)</f>
        <v/>
      </c>
      <c r="K19" s="44">
        <f>IFERROR(IF(AND(K$17&gt;=$H19,K$17&lt;=$I19,$D19&gt;0),ROUND(J19*(1-param_PS_LayMortWeekly)^INT((K$17-$H19)/7)*(param_PS_RossHDP/100)*7*param_PS_RossSettableRatio,0),0),0)</f>
        <v/>
      </c>
      <c r="L19" s="44">
        <f>IFERROR(IF(AND(L$17&gt;=$H19,L$17&lt;=$I19,$D19&gt;0),ROUND(J19*(1-param_PS_LayMortWeekly)^INT((L$17-$H19)/7)*(param_PS_RossHDP/100)*7*param_PS_RossSettableRatio,0),0),0)</f>
        <v/>
      </c>
      <c r="M19" s="44">
        <f>IFERROR(IF(AND(M$17&gt;=$H19,M$17&lt;=$I19,$D19&gt;0),ROUND(J19*(1-param_PS_LayMortWeekly)^INT((M$17-$H19)/7)*(param_PS_RossHDP/100)*7*param_PS_RossSettableRatio,0),0),0)</f>
        <v/>
      </c>
      <c r="N19" s="44">
        <f>IFERROR(IF(AND(N$17&gt;=$H19,N$17&lt;=$I19,$D19&gt;0),ROUND(J19*(1-param_PS_LayMortWeekly)^INT((N$17-$H19)/7)*(param_PS_RossHDP/100)*7*param_PS_RossSettableRatio,0),0),0)</f>
        <v/>
      </c>
      <c r="O19" s="44">
        <f>IFERROR(IF(AND(O$17&gt;=$H19,O$17&lt;=$I19,$D19&gt;0),ROUND(J19*(1-param_PS_LayMortWeekly)^INT((O$17-$H19)/7)*(param_PS_RossHDP/100)*7*param_PS_RossSettableRatio,0),0),0)</f>
        <v/>
      </c>
      <c r="P19" s="44">
        <f>IFERROR(IF(AND(P$17&gt;=$H19,P$17&lt;=$I19,$D19&gt;0),ROUND(J19*(1-param_PS_LayMortWeekly)^INT((P$17-$H19)/7)*(param_PS_RossHDP/100)*7*param_PS_RossSettableRatio,0),0),0)</f>
        <v/>
      </c>
      <c r="Q19" s="44">
        <f>IFERROR(IF(AND(Q$17&gt;=$H19,Q$17&lt;=$I19,$D19&gt;0),ROUND(J19*(1-param_PS_LayMortWeekly)^INT((Q$17-$H19)/7)*(param_PS_RossHDP/100)*7*param_PS_RossSettableRatio,0),0),0)</f>
        <v/>
      </c>
      <c r="R19" s="44">
        <f>IFERROR(IF(AND(R$17&gt;=$H19,R$17&lt;=$I19,$D19&gt;0),ROUND(J19*(1-param_PS_LayMortWeekly)^INT((R$17-$H19)/7)*(param_PS_RossHDP/100)*7*param_PS_RossSettableRatio,0),0),0)</f>
        <v/>
      </c>
      <c r="S19" s="44">
        <f>IFERROR(IF(AND(S$17&gt;=$H19,S$17&lt;=$I19,$D19&gt;0),ROUND(J19*(1-param_PS_LayMortWeekly)^INT((S$17-$H19)/7)*(param_PS_RossHDP/100)*7*param_PS_RossSettableRatio,0),0),0)</f>
        <v/>
      </c>
      <c r="T19" s="44">
        <f>IFERROR(IF(AND(T$17&gt;=$H19,T$17&lt;=$I19,$D19&gt;0),ROUND(J19*(1-param_PS_LayMortWeekly)^INT((T$17-$H19)/7)*(param_PS_RossHDP/100)*7*param_PS_RossSettableRatio,0),0),0)</f>
        <v/>
      </c>
      <c r="U19" s="44">
        <f>IFERROR(IF(AND(U$17&gt;=$H19,U$17&lt;=$I19,$D19&gt;0),ROUND(J19*(1-param_PS_LayMortWeekly)^INT((U$17-$H19)/7)*(param_PS_RossHDP/100)*7*param_PS_RossSettableRatio,0),0),0)</f>
        <v/>
      </c>
      <c r="V19" s="44">
        <f>IFERROR(IF(AND(V$17&gt;=$H19,V$17&lt;=$I19,$D19&gt;0),ROUND(J19*(1-param_PS_LayMortWeekly)^INT((V$17-$H19)/7)*(param_PS_RossHDP/100)*7*param_PS_RossSettableRatio,0),0),0)</f>
        <v/>
      </c>
      <c r="W19" s="44">
        <f>IFERROR(IF(AND(W$17&gt;=$H19,W$17&lt;=$I19,$D19&gt;0),ROUND(J19*(1-param_PS_LayMortWeekly)^INT((W$17-$H19)/7)*(param_PS_RossHDP/100)*7*param_PS_RossSettableRatio,0),0),0)</f>
        <v/>
      </c>
      <c r="X19" s="44">
        <f>IFERROR(IF(AND(X$17&gt;=$H19,X$17&lt;=$I19,$D19&gt;0),ROUND(J19*(1-param_PS_LayMortWeekly)^INT((X$17-$H19)/7)*(param_PS_RossHDP/100)*7*param_PS_RossSettableRatio,0),0),0)</f>
        <v/>
      </c>
      <c r="Y19" s="44">
        <f>IFERROR(IF(AND(Y$17&gt;=$H19,Y$17&lt;=$I19,$D19&gt;0),ROUND(J19*(1-param_PS_LayMortWeekly)^INT((Y$17-$H19)/7)*(param_PS_RossHDP/100)*7*param_PS_RossSettableRatio,0),0),0)</f>
        <v/>
      </c>
      <c r="Z19" s="44">
        <f>IFERROR(IF(AND(Z$17&gt;=$H19,Z$17&lt;=$I19,$D19&gt;0),ROUND(J19*(1-param_PS_LayMortWeekly)^INT((Z$17-$H19)/7)*(param_PS_RossHDP/100)*7*param_PS_RossSettableRatio,0),0),0)</f>
        <v/>
      </c>
      <c r="AA19" s="44">
        <f>IFERROR(IF(AND(AA$17&gt;=$H19,AA$17&lt;=$I19,$D19&gt;0),ROUND(J19*(1-param_PS_LayMortWeekly)^INT((AA$17-$H19)/7)*(param_PS_RossHDP/100)*7*param_PS_RossSettableRatio,0),0),0)</f>
        <v/>
      </c>
      <c r="AB19" s="44">
        <f>IFERROR(IF(AND(AB$17&gt;=$H19,AB$17&lt;=$I19,$D19&gt;0),ROUND(J19*(1-param_PS_LayMortWeekly)^INT((AB$17-$H19)/7)*(param_PS_RossHDP/100)*7*param_PS_RossSettableRatio,0),0),0)</f>
        <v/>
      </c>
      <c r="AC19" s="44">
        <f>IFERROR(IF(AND(AC$17&gt;=$H19,AC$17&lt;=$I19,$D19&gt;0),ROUND(J19*(1-param_PS_LayMortWeekly)^INT((AC$17-$H19)/7)*(param_PS_RossHDP/100)*7*param_PS_RossSettableRatio,0),0),0)</f>
        <v/>
      </c>
      <c r="AD19" s="44">
        <f>IFERROR(IF(AND(AD$17&gt;=$H19,AD$17&lt;=$I19,$D19&gt;0),ROUND(J19*(1-param_PS_LayMortWeekly)^INT((AD$17-$H19)/7)*(param_PS_RossHDP/100)*7*param_PS_RossSettableRatio,0),0),0)</f>
        <v/>
      </c>
      <c r="AE19" s="44">
        <f>IFERROR(IF(AND(AE$17&gt;=$H19,AE$17&lt;=$I19,$D19&gt;0),ROUND(J19*(1-param_PS_LayMortWeekly)^INT((AE$17-$H19)/7)*(param_PS_RossHDP/100)*7*param_PS_RossSettableRatio,0),0),0)</f>
        <v/>
      </c>
      <c r="AF19" s="44">
        <f>IFERROR(IF(AND(AF$17&gt;=$H19,AF$17&lt;=$I19,$D19&gt;0),ROUND(J19*(1-param_PS_LayMortWeekly)^INT((AF$17-$H19)/7)*(param_PS_RossHDP/100)*7*param_PS_RossSettableRatio,0),0),0)</f>
        <v/>
      </c>
      <c r="AG19" s="44">
        <f>IFERROR(IF(AND(AG$17&gt;=$H19,AG$17&lt;=$I19,$D19&gt;0),ROUND(J19*(1-param_PS_LayMortWeekly)^INT((AG$17-$H19)/7)*(param_PS_RossHDP/100)*7*param_PS_RossSettableRatio,0),0),0)</f>
        <v/>
      </c>
      <c r="AH19" s="44">
        <f>IFERROR(IF(AND(AH$17&gt;=$H19,AH$17&lt;=$I19,$D19&gt;0),ROUND(J19*(1-param_PS_LayMortWeekly)^INT((AH$17-$H19)/7)*(param_PS_RossHDP/100)*7*param_PS_RossSettableRatio,0),0),0)</f>
        <v/>
      </c>
      <c r="AI19" s="44">
        <f>IFERROR(IF(AND(AI$17&gt;=$H19,AI$17&lt;=$I19,$D19&gt;0),ROUND(J19*(1-param_PS_LayMortWeekly)^INT((AI$17-$H19)/7)*(param_PS_RossHDP/100)*7*param_PS_RossSettableRatio,0),0),0)</f>
        <v/>
      </c>
      <c r="AJ19" s="44">
        <f>IFERROR(IF(AND(AJ$17&gt;=$H19,AJ$17&lt;=$I19,$D19&gt;0),ROUND(J19*(1-param_PS_LayMortWeekly)^INT((AJ$17-$H19)/7)*(param_PS_RossHDP/100)*7*param_PS_RossSettableRatio,0),0),0)</f>
        <v/>
      </c>
      <c r="AK19" s="44">
        <f>IFERROR(IF(AND(AK$17&gt;=$H19,AK$17&lt;=$I19,$D19&gt;0),ROUND(J19*(1-param_PS_LayMortWeekly)^INT((AK$17-$H19)/7)*(param_PS_RossHDP/100)*7*param_PS_RossSettableRatio,0),0),0)</f>
        <v/>
      </c>
      <c r="AL19" s="44">
        <f>IFERROR(IF(AND(AL$17&gt;=$H19,AL$17&lt;=$I19,$D19&gt;0),ROUND(J19*(1-param_PS_LayMortWeekly)^INT((AL$17-$H19)/7)*(param_PS_RossHDP/100)*7*param_PS_RossSettableRatio,0),0),0)</f>
        <v/>
      </c>
      <c r="AM19" s="44">
        <f>IFERROR(IF(AND(AM$17&gt;=$H19,AM$17&lt;=$I19,$D19&gt;0),ROUND(J19*(1-param_PS_LayMortWeekly)^INT((AM$17-$H19)/7)*(param_PS_RossHDP/100)*7*param_PS_RossSettableRatio,0),0),0)</f>
        <v/>
      </c>
      <c r="AN19" s="44">
        <f>IFERROR(IF(AND(AN$17&gt;=$H19,AN$17&lt;=$I19,$D19&gt;0),ROUND(J19*(1-param_PS_LayMortWeekly)^INT((AN$17-$H19)/7)*(param_PS_RossHDP/100)*7*param_PS_RossSettableRatio,0),0),0)</f>
        <v/>
      </c>
      <c r="AO19" s="44">
        <f>IFERROR(IF(AND(AO$17&gt;=$H19,AO$17&lt;=$I19,$D19&gt;0),ROUND(J19*(1-param_PS_LayMortWeekly)^INT((AO$17-$H19)/7)*(param_PS_RossHDP/100)*7*param_PS_RossSettableRatio,0),0),0)</f>
        <v/>
      </c>
      <c r="AP19" s="44">
        <f>IFERROR(IF(AND(AP$17&gt;=$H19,AP$17&lt;=$I19,$D19&gt;0),ROUND(J19*(1-param_PS_LayMortWeekly)^INT((AP$17-$H19)/7)*(param_PS_RossHDP/100)*7*param_PS_RossSettableRatio,0),0),0)</f>
        <v/>
      </c>
      <c r="AQ19" s="44">
        <f>IFERROR(IF(AND(AQ$17&gt;=$H19,AQ$17&lt;=$I19,$D19&gt;0),ROUND(J19*(1-param_PS_LayMortWeekly)^INT((AQ$17-$H19)/7)*(param_PS_RossHDP/100)*7*param_PS_RossSettableRatio,0),0),0)</f>
        <v/>
      </c>
      <c r="AR19" s="44">
        <f>IFERROR(IF(AND(AR$17&gt;=$H19,AR$17&lt;=$I19,$D19&gt;0),ROUND(J19*(1-param_PS_LayMortWeekly)^INT((AR$17-$H19)/7)*(param_PS_RossHDP/100)*7*param_PS_RossSettableRatio,0),0),0)</f>
        <v/>
      </c>
      <c r="AS19" s="44">
        <f>IFERROR(IF(AND(AS$17&gt;=$H19,AS$17&lt;=$I19,$D19&gt;0),ROUND(J19*(1-param_PS_LayMortWeekly)^INT((AS$17-$H19)/7)*(param_PS_RossHDP/100)*7*param_PS_RossSettableRatio,0),0),0)</f>
        <v/>
      </c>
      <c r="AT19" s="44">
        <f>IFERROR(IF(AND(AT$17&gt;=$H19,AT$17&lt;=$I19,$D19&gt;0),ROUND(J19*(1-param_PS_LayMortWeekly)^INT((AT$17-$H19)/7)*(param_PS_RossHDP/100)*7*param_PS_RossSettableRatio,0),0),0)</f>
        <v/>
      </c>
      <c r="AU19" s="44">
        <f>IFERROR(IF(AND(AU$17&gt;=$H19,AU$17&lt;=$I19,$D19&gt;0),ROUND(J19*(1-param_PS_LayMortWeekly)^INT((AU$17-$H19)/7)*(param_PS_RossHDP/100)*7*param_PS_RossSettableRatio,0),0),0)</f>
        <v/>
      </c>
      <c r="AV19" s="44">
        <f>IFERROR(IF(AND(AV$17&gt;=$H19,AV$17&lt;=$I19,$D19&gt;0),ROUND(J19*(1-param_PS_LayMortWeekly)^INT((AV$17-$H19)/7)*(param_PS_RossHDP/100)*7*param_PS_RossSettableRatio,0),0),0)</f>
        <v/>
      </c>
      <c r="AW19" s="44">
        <f>IFERROR(IF(AND(AW$17&gt;=$H19,AW$17&lt;=$I19,$D19&gt;0),ROUND(J19*(1-param_PS_LayMortWeekly)^INT((AW$17-$H19)/7)*(param_PS_RossHDP/100)*7*param_PS_RossSettableRatio,0),0),0)</f>
        <v/>
      </c>
      <c r="AX19" s="44">
        <f>IFERROR(IF(AND(AX$17&gt;=$H19,AX$17&lt;=$I19,$D19&gt;0),ROUND(J19*(1-param_PS_LayMortWeekly)^INT((AX$17-$H19)/7)*(param_PS_RossHDP/100)*7*param_PS_RossSettableRatio,0),0),0)</f>
        <v/>
      </c>
      <c r="AY19" s="44">
        <f>IFERROR(IF(AND(AY$17&gt;=$H19,AY$17&lt;=$I19,$D19&gt;0),ROUND(J19*(1-param_PS_LayMortWeekly)^INT((AY$17-$H19)/7)*(param_PS_RossHDP/100)*7*param_PS_RossSettableRatio,0),0),0)</f>
        <v/>
      </c>
      <c r="AZ19" s="44">
        <f>IFERROR(IF(AND(AZ$17&gt;=$H19,AZ$17&lt;=$I19,$D19&gt;0),ROUND(J19*(1-param_PS_LayMortWeekly)^INT((AZ$17-$H19)/7)*(param_PS_RossHDP/100)*7*param_PS_RossSettableRatio,0),0),0)</f>
        <v/>
      </c>
      <c r="BA19" s="44">
        <f>IFERROR(IF(AND(BA$17&gt;=$H19,BA$17&lt;=$I19,$D19&gt;0),ROUND(J19*(1-param_PS_LayMortWeekly)^INT((BA$17-$H19)/7)*(param_PS_RossHDP/100)*7*param_PS_RossSettableRatio,0),0),0)</f>
        <v/>
      </c>
      <c r="BB19" s="44">
        <f>IFERROR(IF(AND(BB$17&gt;=$H19,BB$17&lt;=$I19,$D19&gt;0),ROUND(J19*(1-param_PS_LayMortWeekly)^INT((BB$17-$H19)/7)*(param_PS_RossHDP/100)*7*param_PS_RossSettableRatio,0),0),0)</f>
        <v/>
      </c>
      <c r="BC19" s="44">
        <f>IFERROR(IF(AND(BC$17&gt;=$H19,BC$17&lt;=$I19,$D19&gt;0),ROUND(J19*(1-param_PS_LayMortWeekly)^INT((BC$17-$H19)/7)*(param_PS_RossHDP/100)*7*param_PS_RossSettableRatio,0),0),0)</f>
        <v/>
      </c>
      <c r="BD19" s="44">
        <f>IFERROR(IF(AND(BD$17&gt;=$H19,BD$17&lt;=$I19,$D19&gt;0),ROUND(J19*(1-param_PS_LayMortWeekly)^INT((BD$17-$H19)/7)*(param_PS_RossHDP/100)*7*param_PS_RossSettableRatio,0),0),0)</f>
        <v/>
      </c>
      <c r="BE19" s="44">
        <f>IFERROR(IF(AND(BE$17&gt;=$H19,BE$17&lt;=$I19,$D19&gt;0),ROUND(J19*(1-param_PS_LayMortWeekly)^INT((BE$17-$H19)/7)*(param_PS_RossHDP/100)*7*param_PS_RossSettableRatio,0),0),0)</f>
        <v/>
      </c>
      <c r="BF19" s="44">
        <f>IFERROR(IF(AND(BF$17&gt;=$H19,BF$17&lt;=$I19,$D19&gt;0),ROUND(J19*(1-param_PS_LayMortWeekly)^INT((BF$17-$H19)/7)*(param_PS_RossHDP/100)*7*param_PS_RossSettableRatio,0),0),0)</f>
        <v/>
      </c>
      <c r="BG19" s="44">
        <f>IFERROR(IF(AND(BG$17&gt;=$H19,BG$17&lt;=$I19,$D19&gt;0),ROUND(J19*(1-param_PS_LayMortWeekly)^INT((BG$17-$H19)/7)*(param_PS_RossHDP/100)*7*param_PS_RossSettableRatio,0),0),0)</f>
        <v/>
      </c>
      <c r="BH19" s="44">
        <f>IFERROR(IF(AND(BH$17&gt;=$H19,BH$17&lt;=$I19,$D19&gt;0),ROUND(J19*(1-param_PS_LayMortWeekly)^INT((BH$17-$H19)/7)*(param_PS_RossHDP/100)*7*param_PS_RossSettableRatio,0),0),0)</f>
        <v/>
      </c>
      <c r="BI19" s="44">
        <f>IFERROR(IF(AND(BI$17&gt;=$H19,BI$17&lt;=$I19,$D19&gt;0),ROUND(J19*(1-param_PS_LayMortWeekly)^INT((BI$17-$H19)/7)*(param_PS_RossHDP/100)*7*param_PS_RossSettableRatio,0),0),0)</f>
        <v/>
      </c>
      <c r="BJ19" s="44">
        <f>IFERROR(IF(AND(BJ$17&gt;=$H19,BJ$17&lt;=$I19,$D19&gt;0),ROUND(J19*(1-param_PS_LayMortWeekly)^INT((BJ$17-$H19)/7)*(param_PS_RossHDP/100)*7*param_PS_RossSettableRatio,0),0),0)</f>
        <v/>
      </c>
    </row>
    <row r="20" ht="16" customHeight="1">
      <c r="A20" s="59" t="inlineStr">
        <is>
          <t>R-2</t>
        </is>
      </c>
      <c r="B20" s="60" t="inlineStr">
        <is>
          <t>Ross-308</t>
        </is>
      </c>
      <c r="C20" s="10" t="n"/>
      <c r="D20" s="11" t="n"/>
      <c r="E20" s="61">
        <f>IF($C20&gt;0,$C20-param_RossPO_LeadWeeks*7,"")</f>
        <v/>
      </c>
      <c r="F20" s="62">
        <f>IF(AND($E20&lt;&gt;"",$E20&lt;=TODAY()+56),"⚠ ACTION REQUIRED","")</f>
        <v/>
      </c>
      <c r="G20" s="12">
        <f>IF($D20&gt;0,$C20+param_PS_RearingWeeks*7,"")</f>
        <v/>
      </c>
      <c r="H20" s="12">
        <f>IF($G20&lt;&gt;"",$G20+param_PS_PreLayWeeks*7,"")</f>
        <v/>
      </c>
      <c r="I20" s="12">
        <f>IF($H20&lt;&gt;"",$H20+param_PS_LayingWeeks*7,"")</f>
        <v/>
      </c>
      <c r="J20" s="13">
        <f>IF($D20&gt;0,ROUND($D20*(1-param_PS_RearingMortality)*(1-param_PS_PreLayMortality),0),0)</f>
        <v/>
      </c>
      <c r="K20" s="44">
        <f>IFERROR(IF(AND(K$17&gt;=$H20,K$17&lt;=$I20,$D20&gt;0),ROUND(J20*(1-param_PS_LayMortWeekly)^INT((K$17-$H20)/7)*(param_PS_RossHDP/100)*7*param_PS_RossSettableRatio,0),0),0)</f>
        <v/>
      </c>
      <c r="L20" s="44">
        <f>IFERROR(IF(AND(L$17&gt;=$H20,L$17&lt;=$I20,$D20&gt;0),ROUND(J20*(1-param_PS_LayMortWeekly)^INT((L$17-$H20)/7)*(param_PS_RossHDP/100)*7*param_PS_RossSettableRatio,0),0),0)</f>
        <v/>
      </c>
      <c r="M20" s="44">
        <f>IFERROR(IF(AND(M$17&gt;=$H20,M$17&lt;=$I20,$D20&gt;0),ROUND(J20*(1-param_PS_LayMortWeekly)^INT((M$17-$H20)/7)*(param_PS_RossHDP/100)*7*param_PS_RossSettableRatio,0),0),0)</f>
        <v/>
      </c>
      <c r="N20" s="44">
        <f>IFERROR(IF(AND(N$17&gt;=$H20,N$17&lt;=$I20,$D20&gt;0),ROUND(J20*(1-param_PS_LayMortWeekly)^INT((N$17-$H20)/7)*(param_PS_RossHDP/100)*7*param_PS_RossSettableRatio,0),0),0)</f>
        <v/>
      </c>
      <c r="O20" s="44">
        <f>IFERROR(IF(AND(O$17&gt;=$H20,O$17&lt;=$I20,$D20&gt;0),ROUND(J20*(1-param_PS_LayMortWeekly)^INT((O$17-$H20)/7)*(param_PS_RossHDP/100)*7*param_PS_RossSettableRatio,0),0),0)</f>
        <v/>
      </c>
      <c r="P20" s="44">
        <f>IFERROR(IF(AND(P$17&gt;=$H20,P$17&lt;=$I20,$D20&gt;0),ROUND(J20*(1-param_PS_LayMortWeekly)^INT((P$17-$H20)/7)*(param_PS_RossHDP/100)*7*param_PS_RossSettableRatio,0),0),0)</f>
        <v/>
      </c>
      <c r="Q20" s="44">
        <f>IFERROR(IF(AND(Q$17&gt;=$H20,Q$17&lt;=$I20,$D20&gt;0),ROUND(J20*(1-param_PS_LayMortWeekly)^INT((Q$17-$H20)/7)*(param_PS_RossHDP/100)*7*param_PS_RossSettableRatio,0),0),0)</f>
        <v/>
      </c>
      <c r="R20" s="44">
        <f>IFERROR(IF(AND(R$17&gt;=$H20,R$17&lt;=$I20,$D20&gt;0),ROUND(J20*(1-param_PS_LayMortWeekly)^INT((R$17-$H20)/7)*(param_PS_RossHDP/100)*7*param_PS_RossSettableRatio,0),0),0)</f>
        <v/>
      </c>
      <c r="S20" s="44">
        <f>IFERROR(IF(AND(S$17&gt;=$H20,S$17&lt;=$I20,$D20&gt;0),ROUND(J20*(1-param_PS_LayMortWeekly)^INT((S$17-$H20)/7)*(param_PS_RossHDP/100)*7*param_PS_RossSettableRatio,0),0),0)</f>
        <v/>
      </c>
      <c r="T20" s="44">
        <f>IFERROR(IF(AND(T$17&gt;=$H20,T$17&lt;=$I20,$D20&gt;0),ROUND(J20*(1-param_PS_LayMortWeekly)^INT((T$17-$H20)/7)*(param_PS_RossHDP/100)*7*param_PS_RossSettableRatio,0),0),0)</f>
        <v/>
      </c>
      <c r="U20" s="44">
        <f>IFERROR(IF(AND(U$17&gt;=$H20,U$17&lt;=$I20,$D20&gt;0),ROUND(J20*(1-param_PS_LayMortWeekly)^INT((U$17-$H20)/7)*(param_PS_RossHDP/100)*7*param_PS_RossSettableRatio,0),0),0)</f>
        <v/>
      </c>
      <c r="V20" s="44">
        <f>IFERROR(IF(AND(V$17&gt;=$H20,V$17&lt;=$I20,$D20&gt;0),ROUND(J20*(1-param_PS_LayMortWeekly)^INT((V$17-$H20)/7)*(param_PS_RossHDP/100)*7*param_PS_RossSettableRatio,0),0),0)</f>
        <v/>
      </c>
      <c r="W20" s="44">
        <f>IFERROR(IF(AND(W$17&gt;=$H20,W$17&lt;=$I20,$D20&gt;0),ROUND(J20*(1-param_PS_LayMortWeekly)^INT((W$17-$H20)/7)*(param_PS_RossHDP/100)*7*param_PS_RossSettableRatio,0),0),0)</f>
        <v/>
      </c>
      <c r="X20" s="44">
        <f>IFERROR(IF(AND(X$17&gt;=$H20,X$17&lt;=$I20,$D20&gt;0),ROUND(J20*(1-param_PS_LayMortWeekly)^INT((X$17-$H20)/7)*(param_PS_RossHDP/100)*7*param_PS_RossSettableRatio,0),0),0)</f>
        <v/>
      </c>
      <c r="Y20" s="44">
        <f>IFERROR(IF(AND(Y$17&gt;=$H20,Y$17&lt;=$I20,$D20&gt;0),ROUND(J20*(1-param_PS_LayMortWeekly)^INT((Y$17-$H20)/7)*(param_PS_RossHDP/100)*7*param_PS_RossSettableRatio,0),0),0)</f>
        <v/>
      </c>
      <c r="Z20" s="44">
        <f>IFERROR(IF(AND(Z$17&gt;=$H20,Z$17&lt;=$I20,$D20&gt;0),ROUND(J20*(1-param_PS_LayMortWeekly)^INT((Z$17-$H20)/7)*(param_PS_RossHDP/100)*7*param_PS_RossSettableRatio,0),0),0)</f>
        <v/>
      </c>
      <c r="AA20" s="44">
        <f>IFERROR(IF(AND(AA$17&gt;=$H20,AA$17&lt;=$I20,$D20&gt;0),ROUND(J20*(1-param_PS_LayMortWeekly)^INT((AA$17-$H20)/7)*(param_PS_RossHDP/100)*7*param_PS_RossSettableRatio,0),0),0)</f>
        <v/>
      </c>
      <c r="AB20" s="44">
        <f>IFERROR(IF(AND(AB$17&gt;=$H20,AB$17&lt;=$I20,$D20&gt;0),ROUND(J20*(1-param_PS_LayMortWeekly)^INT((AB$17-$H20)/7)*(param_PS_RossHDP/100)*7*param_PS_RossSettableRatio,0),0),0)</f>
        <v/>
      </c>
      <c r="AC20" s="44">
        <f>IFERROR(IF(AND(AC$17&gt;=$H20,AC$17&lt;=$I20,$D20&gt;0),ROUND(J20*(1-param_PS_LayMortWeekly)^INT((AC$17-$H20)/7)*(param_PS_RossHDP/100)*7*param_PS_RossSettableRatio,0),0),0)</f>
        <v/>
      </c>
      <c r="AD20" s="44">
        <f>IFERROR(IF(AND(AD$17&gt;=$H20,AD$17&lt;=$I20,$D20&gt;0),ROUND(J20*(1-param_PS_LayMortWeekly)^INT((AD$17-$H20)/7)*(param_PS_RossHDP/100)*7*param_PS_RossSettableRatio,0),0),0)</f>
        <v/>
      </c>
      <c r="AE20" s="44">
        <f>IFERROR(IF(AND(AE$17&gt;=$H20,AE$17&lt;=$I20,$D20&gt;0),ROUND(J20*(1-param_PS_LayMortWeekly)^INT((AE$17-$H20)/7)*(param_PS_RossHDP/100)*7*param_PS_RossSettableRatio,0),0),0)</f>
        <v/>
      </c>
      <c r="AF20" s="44">
        <f>IFERROR(IF(AND(AF$17&gt;=$H20,AF$17&lt;=$I20,$D20&gt;0),ROUND(J20*(1-param_PS_LayMortWeekly)^INT((AF$17-$H20)/7)*(param_PS_RossHDP/100)*7*param_PS_RossSettableRatio,0),0),0)</f>
        <v/>
      </c>
      <c r="AG20" s="44">
        <f>IFERROR(IF(AND(AG$17&gt;=$H20,AG$17&lt;=$I20,$D20&gt;0),ROUND(J20*(1-param_PS_LayMortWeekly)^INT((AG$17-$H20)/7)*(param_PS_RossHDP/100)*7*param_PS_RossSettableRatio,0),0),0)</f>
        <v/>
      </c>
      <c r="AH20" s="44">
        <f>IFERROR(IF(AND(AH$17&gt;=$H20,AH$17&lt;=$I20,$D20&gt;0),ROUND(J20*(1-param_PS_LayMortWeekly)^INT((AH$17-$H20)/7)*(param_PS_RossHDP/100)*7*param_PS_RossSettableRatio,0),0),0)</f>
        <v/>
      </c>
      <c r="AI20" s="44">
        <f>IFERROR(IF(AND(AI$17&gt;=$H20,AI$17&lt;=$I20,$D20&gt;0),ROUND(J20*(1-param_PS_LayMortWeekly)^INT((AI$17-$H20)/7)*(param_PS_RossHDP/100)*7*param_PS_RossSettableRatio,0),0),0)</f>
        <v/>
      </c>
      <c r="AJ20" s="44">
        <f>IFERROR(IF(AND(AJ$17&gt;=$H20,AJ$17&lt;=$I20,$D20&gt;0),ROUND(J20*(1-param_PS_LayMortWeekly)^INT((AJ$17-$H20)/7)*(param_PS_RossHDP/100)*7*param_PS_RossSettableRatio,0),0),0)</f>
        <v/>
      </c>
      <c r="AK20" s="44">
        <f>IFERROR(IF(AND(AK$17&gt;=$H20,AK$17&lt;=$I20,$D20&gt;0),ROUND(J20*(1-param_PS_LayMortWeekly)^INT((AK$17-$H20)/7)*(param_PS_RossHDP/100)*7*param_PS_RossSettableRatio,0),0),0)</f>
        <v/>
      </c>
      <c r="AL20" s="44">
        <f>IFERROR(IF(AND(AL$17&gt;=$H20,AL$17&lt;=$I20,$D20&gt;0),ROUND(J20*(1-param_PS_LayMortWeekly)^INT((AL$17-$H20)/7)*(param_PS_RossHDP/100)*7*param_PS_RossSettableRatio,0),0),0)</f>
        <v/>
      </c>
      <c r="AM20" s="44">
        <f>IFERROR(IF(AND(AM$17&gt;=$H20,AM$17&lt;=$I20,$D20&gt;0),ROUND(J20*(1-param_PS_LayMortWeekly)^INT((AM$17-$H20)/7)*(param_PS_RossHDP/100)*7*param_PS_RossSettableRatio,0),0),0)</f>
        <v/>
      </c>
      <c r="AN20" s="44">
        <f>IFERROR(IF(AND(AN$17&gt;=$H20,AN$17&lt;=$I20,$D20&gt;0),ROUND(J20*(1-param_PS_LayMortWeekly)^INT((AN$17-$H20)/7)*(param_PS_RossHDP/100)*7*param_PS_RossSettableRatio,0),0),0)</f>
        <v/>
      </c>
      <c r="AO20" s="44">
        <f>IFERROR(IF(AND(AO$17&gt;=$H20,AO$17&lt;=$I20,$D20&gt;0),ROUND(J20*(1-param_PS_LayMortWeekly)^INT((AO$17-$H20)/7)*(param_PS_RossHDP/100)*7*param_PS_RossSettableRatio,0),0),0)</f>
        <v/>
      </c>
      <c r="AP20" s="44">
        <f>IFERROR(IF(AND(AP$17&gt;=$H20,AP$17&lt;=$I20,$D20&gt;0),ROUND(J20*(1-param_PS_LayMortWeekly)^INT((AP$17-$H20)/7)*(param_PS_RossHDP/100)*7*param_PS_RossSettableRatio,0),0),0)</f>
        <v/>
      </c>
      <c r="AQ20" s="44">
        <f>IFERROR(IF(AND(AQ$17&gt;=$H20,AQ$17&lt;=$I20,$D20&gt;0),ROUND(J20*(1-param_PS_LayMortWeekly)^INT((AQ$17-$H20)/7)*(param_PS_RossHDP/100)*7*param_PS_RossSettableRatio,0),0),0)</f>
        <v/>
      </c>
      <c r="AR20" s="44">
        <f>IFERROR(IF(AND(AR$17&gt;=$H20,AR$17&lt;=$I20,$D20&gt;0),ROUND(J20*(1-param_PS_LayMortWeekly)^INT((AR$17-$H20)/7)*(param_PS_RossHDP/100)*7*param_PS_RossSettableRatio,0),0),0)</f>
        <v/>
      </c>
      <c r="AS20" s="44">
        <f>IFERROR(IF(AND(AS$17&gt;=$H20,AS$17&lt;=$I20,$D20&gt;0),ROUND(J20*(1-param_PS_LayMortWeekly)^INT((AS$17-$H20)/7)*(param_PS_RossHDP/100)*7*param_PS_RossSettableRatio,0),0),0)</f>
        <v/>
      </c>
      <c r="AT20" s="44">
        <f>IFERROR(IF(AND(AT$17&gt;=$H20,AT$17&lt;=$I20,$D20&gt;0),ROUND(J20*(1-param_PS_LayMortWeekly)^INT((AT$17-$H20)/7)*(param_PS_RossHDP/100)*7*param_PS_RossSettableRatio,0),0),0)</f>
        <v/>
      </c>
      <c r="AU20" s="44">
        <f>IFERROR(IF(AND(AU$17&gt;=$H20,AU$17&lt;=$I20,$D20&gt;0),ROUND(J20*(1-param_PS_LayMortWeekly)^INT((AU$17-$H20)/7)*(param_PS_RossHDP/100)*7*param_PS_RossSettableRatio,0),0),0)</f>
        <v/>
      </c>
      <c r="AV20" s="44">
        <f>IFERROR(IF(AND(AV$17&gt;=$H20,AV$17&lt;=$I20,$D20&gt;0),ROUND(J20*(1-param_PS_LayMortWeekly)^INT((AV$17-$H20)/7)*(param_PS_RossHDP/100)*7*param_PS_RossSettableRatio,0),0),0)</f>
        <v/>
      </c>
      <c r="AW20" s="44">
        <f>IFERROR(IF(AND(AW$17&gt;=$H20,AW$17&lt;=$I20,$D20&gt;0),ROUND(J20*(1-param_PS_LayMortWeekly)^INT((AW$17-$H20)/7)*(param_PS_RossHDP/100)*7*param_PS_RossSettableRatio,0),0),0)</f>
        <v/>
      </c>
      <c r="AX20" s="44">
        <f>IFERROR(IF(AND(AX$17&gt;=$H20,AX$17&lt;=$I20,$D20&gt;0),ROUND(J20*(1-param_PS_LayMortWeekly)^INT((AX$17-$H20)/7)*(param_PS_RossHDP/100)*7*param_PS_RossSettableRatio,0),0),0)</f>
        <v/>
      </c>
      <c r="AY20" s="44">
        <f>IFERROR(IF(AND(AY$17&gt;=$H20,AY$17&lt;=$I20,$D20&gt;0),ROUND(J20*(1-param_PS_LayMortWeekly)^INT((AY$17-$H20)/7)*(param_PS_RossHDP/100)*7*param_PS_RossSettableRatio,0),0),0)</f>
        <v/>
      </c>
      <c r="AZ20" s="44">
        <f>IFERROR(IF(AND(AZ$17&gt;=$H20,AZ$17&lt;=$I20,$D20&gt;0),ROUND(J20*(1-param_PS_LayMortWeekly)^INT((AZ$17-$H20)/7)*(param_PS_RossHDP/100)*7*param_PS_RossSettableRatio,0),0),0)</f>
        <v/>
      </c>
      <c r="BA20" s="44">
        <f>IFERROR(IF(AND(BA$17&gt;=$H20,BA$17&lt;=$I20,$D20&gt;0),ROUND(J20*(1-param_PS_LayMortWeekly)^INT((BA$17-$H20)/7)*(param_PS_RossHDP/100)*7*param_PS_RossSettableRatio,0),0),0)</f>
        <v/>
      </c>
      <c r="BB20" s="44">
        <f>IFERROR(IF(AND(BB$17&gt;=$H20,BB$17&lt;=$I20,$D20&gt;0),ROUND(J20*(1-param_PS_LayMortWeekly)^INT((BB$17-$H20)/7)*(param_PS_RossHDP/100)*7*param_PS_RossSettableRatio,0),0),0)</f>
        <v/>
      </c>
      <c r="BC20" s="44">
        <f>IFERROR(IF(AND(BC$17&gt;=$H20,BC$17&lt;=$I20,$D20&gt;0),ROUND(J20*(1-param_PS_LayMortWeekly)^INT((BC$17-$H20)/7)*(param_PS_RossHDP/100)*7*param_PS_RossSettableRatio,0),0),0)</f>
        <v/>
      </c>
      <c r="BD20" s="44">
        <f>IFERROR(IF(AND(BD$17&gt;=$H20,BD$17&lt;=$I20,$D20&gt;0),ROUND(J20*(1-param_PS_LayMortWeekly)^INT((BD$17-$H20)/7)*(param_PS_RossHDP/100)*7*param_PS_RossSettableRatio,0),0),0)</f>
        <v/>
      </c>
      <c r="BE20" s="44">
        <f>IFERROR(IF(AND(BE$17&gt;=$H20,BE$17&lt;=$I20,$D20&gt;0),ROUND(J20*(1-param_PS_LayMortWeekly)^INT((BE$17-$H20)/7)*(param_PS_RossHDP/100)*7*param_PS_RossSettableRatio,0),0),0)</f>
        <v/>
      </c>
      <c r="BF20" s="44">
        <f>IFERROR(IF(AND(BF$17&gt;=$H20,BF$17&lt;=$I20,$D20&gt;0),ROUND(J20*(1-param_PS_LayMortWeekly)^INT((BF$17-$H20)/7)*(param_PS_RossHDP/100)*7*param_PS_RossSettableRatio,0),0),0)</f>
        <v/>
      </c>
      <c r="BG20" s="44">
        <f>IFERROR(IF(AND(BG$17&gt;=$H20,BG$17&lt;=$I20,$D20&gt;0),ROUND(J20*(1-param_PS_LayMortWeekly)^INT((BG$17-$H20)/7)*(param_PS_RossHDP/100)*7*param_PS_RossSettableRatio,0),0),0)</f>
        <v/>
      </c>
      <c r="BH20" s="44">
        <f>IFERROR(IF(AND(BH$17&gt;=$H20,BH$17&lt;=$I20,$D20&gt;0),ROUND(J20*(1-param_PS_LayMortWeekly)^INT((BH$17-$H20)/7)*(param_PS_RossHDP/100)*7*param_PS_RossSettableRatio,0),0),0)</f>
        <v/>
      </c>
      <c r="BI20" s="44">
        <f>IFERROR(IF(AND(BI$17&gt;=$H20,BI$17&lt;=$I20,$D20&gt;0),ROUND(J20*(1-param_PS_LayMortWeekly)^INT((BI$17-$H20)/7)*(param_PS_RossHDP/100)*7*param_PS_RossSettableRatio,0),0),0)</f>
        <v/>
      </c>
      <c r="BJ20" s="44">
        <f>IFERROR(IF(AND(BJ$17&gt;=$H20,BJ$17&lt;=$I20,$D20&gt;0),ROUND(J20*(1-param_PS_LayMortWeekly)^INT((BJ$17-$H20)/7)*(param_PS_RossHDP/100)*7*param_PS_RossSettableRatio,0),0),0)</f>
        <v/>
      </c>
    </row>
    <row r="21" ht="16" customHeight="1">
      <c r="A21" s="59" t="inlineStr">
        <is>
          <t>R-3</t>
        </is>
      </c>
      <c r="B21" s="60" t="inlineStr">
        <is>
          <t>Ross-308</t>
        </is>
      </c>
      <c r="C21" s="10" t="n"/>
      <c r="D21" s="11" t="n"/>
      <c r="E21" s="61">
        <f>IF($C21&gt;0,$C21-param_RossPO_LeadWeeks*7,"")</f>
        <v/>
      </c>
      <c r="F21" s="62">
        <f>IF(AND($E21&lt;&gt;"",$E21&lt;=TODAY()+56),"⚠ ACTION REQUIRED","")</f>
        <v/>
      </c>
      <c r="G21" s="12">
        <f>IF($D21&gt;0,$C21+param_PS_RearingWeeks*7,"")</f>
        <v/>
      </c>
      <c r="H21" s="12">
        <f>IF($G21&lt;&gt;"",$G21+param_PS_PreLayWeeks*7,"")</f>
        <v/>
      </c>
      <c r="I21" s="12">
        <f>IF($H21&lt;&gt;"",$H21+param_PS_LayingWeeks*7,"")</f>
        <v/>
      </c>
      <c r="J21" s="13">
        <f>IF($D21&gt;0,ROUND($D21*(1-param_PS_RearingMortality)*(1-param_PS_PreLayMortality),0),0)</f>
        <v/>
      </c>
      <c r="K21" s="44">
        <f>IFERROR(IF(AND(K$17&gt;=$H21,K$17&lt;=$I21,$D21&gt;0),ROUND(J21*(1-param_PS_LayMortWeekly)^INT((K$17-$H21)/7)*(param_PS_RossHDP/100)*7*param_PS_RossSettableRatio,0),0),0)</f>
        <v/>
      </c>
      <c r="L21" s="44">
        <f>IFERROR(IF(AND(L$17&gt;=$H21,L$17&lt;=$I21,$D21&gt;0),ROUND(J21*(1-param_PS_LayMortWeekly)^INT((L$17-$H21)/7)*(param_PS_RossHDP/100)*7*param_PS_RossSettableRatio,0),0),0)</f>
        <v/>
      </c>
      <c r="M21" s="44">
        <f>IFERROR(IF(AND(M$17&gt;=$H21,M$17&lt;=$I21,$D21&gt;0),ROUND(J21*(1-param_PS_LayMortWeekly)^INT((M$17-$H21)/7)*(param_PS_RossHDP/100)*7*param_PS_RossSettableRatio,0),0),0)</f>
        <v/>
      </c>
      <c r="N21" s="44">
        <f>IFERROR(IF(AND(N$17&gt;=$H21,N$17&lt;=$I21,$D21&gt;0),ROUND(J21*(1-param_PS_LayMortWeekly)^INT((N$17-$H21)/7)*(param_PS_RossHDP/100)*7*param_PS_RossSettableRatio,0),0),0)</f>
        <v/>
      </c>
      <c r="O21" s="44">
        <f>IFERROR(IF(AND(O$17&gt;=$H21,O$17&lt;=$I21,$D21&gt;0),ROUND(J21*(1-param_PS_LayMortWeekly)^INT((O$17-$H21)/7)*(param_PS_RossHDP/100)*7*param_PS_RossSettableRatio,0),0),0)</f>
        <v/>
      </c>
      <c r="P21" s="44">
        <f>IFERROR(IF(AND(P$17&gt;=$H21,P$17&lt;=$I21,$D21&gt;0),ROUND(J21*(1-param_PS_LayMortWeekly)^INT((P$17-$H21)/7)*(param_PS_RossHDP/100)*7*param_PS_RossSettableRatio,0),0),0)</f>
        <v/>
      </c>
      <c r="Q21" s="44">
        <f>IFERROR(IF(AND(Q$17&gt;=$H21,Q$17&lt;=$I21,$D21&gt;0),ROUND(J21*(1-param_PS_LayMortWeekly)^INT((Q$17-$H21)/7)*(param_PS_RossHDP/100)*7*param_PS_RossSettableRatio,0),0),0)</f>
        <v/>
      </c>
      <c r="R21" s="44">
        <f>IFERROR(IF(AND(R$17&gt;=$H21,R$17&lt;=$I21,$D21&gt;0),ROUND(J21*(1-param_PS_LayMortWeekly)^INT((R$17-$H21)/7)*(param_PS_RossHDP/100)*7*param_PS_RossSettableRatio,0),0),0)</f>
        <v/>
      </c>
      <c r="S21" s="44">
        <f>IFERROR(IF(AND(S$17&gt;=$H21,S$17&lt;=$I21,$D21&gt;0),ROUND(J21*(1-param_PS_LayMortWeekly)^INT((S$17-$H21)/7)*(param_PS_RossHDP/100)*7*param_PS_RossSettableRatio,0),0),0)</f>
        <v/>
      </c>
      <c r="T21" s="44">
        <f>IFERROR(IF(AND(T$17&gt;=$H21,T$17&lt;=$I21,$D21&gt;0),ROUND(J21*(1-param_PS_LayMortWeekly)^INT((T$17-$H21)/7)*(param_PS_RossHDP/100)*7*param_PS_RossSettableRatio,0),0),0)</f>
        <v/>
      </c>
      <c r="U21" s="44">
        <f>IFERROR(IF(AND(U$17&gt;=$H21,U$17&lt;=$I21,$D21&gt;0),ROUND(J21*(1-param_PS_LayMortWeekly)^INT((U$17-$H21)/7)*(param_PS_RossHDP/100)*7*param_PS_RossSettableRatio,0),0),0)</f>
        <v/>
      </c>
      <c r="V21" s="44">
        <f>IFERROR(IF(AND(V$17&gt;=$H21,V$17&lt;=$I21,$D21&gt;0),ROUND(J21*(1-param_PS_LayMortWeekly)^INT((V$17-$H21)/7)*(param_PS_RossHDP/100)*7*param_PS_RossSettableRatio,0),0),0)</f>
        <v/>
      </c>
      <c r="W21" s="44">
        <f>IFERROR(IF(AND(W$17&gt;=$H21,W$17&lt;=$I21,$D21&gt;0),ROUND(J21*(1-param_PS_LayMortWeekly)^INT((W$17-$H21)/7)*(param_PS_RossHDP/100)*7*param_PS_RossSettableRatio,0),0),0)</f>
        <v/>
      </c>
      <c r="X21" s="44">
        <f>IFERROR(IF(AND(X$17&gt;=$H21,X$17&lt;=$I21,$D21&gt;0),ROUND(J21*(1-param_PS_LayMortWeekly)^INT((X$17-$H21)/7)*(param_PS_RossHDP/100)*7*param_PS_RossSettableRatio,0),0),0)</f>
        <v/>
      </c>
      <c r="Y21" s="44">
        <f>IFERROR(IF(AND(Y$17&gt;=$H21,Y$17&lt;=$I21,$D21&gt;0),ROUND(J21*(1-param_PS_LayMortWeekly)^INT((Y$17-$H21)/7)*(param_PS_RossHDP/100)*7*param_PS_RossSettableRatio,0),0),0)</f>
        <v/>
      </c>
      <c r="Z21" s="44">
        <f>IFERROR(IF(AND(Z$17&gt;=$H21,Z$17&lt;=$I21,$D21&gt;0),ROUND(J21*(1-param_PS_LayMortWeekly)^INT((Z$17-$H21)/7)*(param_PS_RossHDP/100)*7*param_PS_RossSettableRatio,0),0),0)</f>
        <v/>
      </c>
      <c r="AA21" s="44">
        <f>IFERROR(IF(AND(AA$17&gt;=$H21,AA$17&lt;=$I21,$D21&gt;0),ROUND(J21*(1-param_PS_LayMortWeekly)^INT((AA$17-$H21)/7)*(param_PS_RossHDP/100)*7*param_PS_RossSettableRatio,0),0),0)</f>
        <v/>
      </c>
      <c r="AB21" s="44">
        <f>IFERROR(IF(AND(AB$17&gt;=$H21,AB$17&lt;=$I21,$D21&gt;0),ROUND(J21*(1-param_PS_LayMortWeekly)^INT((AB$17-$H21)/7)*(param_PS_RossHDP/100)*7*param_PS_RossSettableRatio,0),0),0)</f>
        <v/>
      </c>
      <c r="AC21" s="44">
        <f>IFERROR(IF(AND(AC$17&gt;=$H21,AC$17&lt;=$I21,$D21&gt;0),ROUND(J21*(1-param_PS_LayMortWeekly)^INT((AC$17-$H21)/7)*(param_PS_RossHDP/100)*7*param_PS_RossSettableRatio,0),0),0)</f>
        <v/>
      </c>
      <c r="AD21" s="44">
        <f>IFERROR(IF(AND(AD$17&gt;=$H21,AD$17&lt;=$I21,$D21&gt;0),ROUND(J21*(1-param_PS_LayMortWeekly)^INT((AD$17-$H21)/7)*(param_PS_RossHDP/100)*7*param_PS_RossSettableRatio,0),0),0)</f>
        <v/>
      </c>
      <c r="AE21" s="44">
        <f>IFERROR(IF(AND(AE$17&gt;=$H21,AE$17&lt;=$I21,$D21&gt;0),ROUND(J21*(1-param_PS_LayMortWeekly)^INT((AE$17-$H21)/7)*(param_PS_RossHDP/100)*7*param_PS_RossSettableRatio,0),0),0)</f>
        <v/>
      </c>
      <c r="AF21" s="44">
        <f>IFERROR(IF(AND(AF$17&gt;=$H21,AF$17&lt;=$I21,$D21&gt;0),ROUND(J21*(1-param_PS_LayMortWeekly)^INT((AF$17-$H21)/7)*(param_PS_RossHDP/100)*7*param_PS_RossSettableRatio,0),0),0)</f>
        <v/>
      </c>
      <c r="AG21" s="44">
        <f>IFERROR(IF(AND(AG$17&gt;=$H21,AG$17&lt;=$I21,$D21&gt;0),ROUND(J21*(1-param_PS_LayMortWeekly)^INT((AG$17-$H21)/7)*(param_PS_RossHDP/100)*7*param_PS_RossSettableRatio,0),0),0)</f>
        <v/>
      </c>
      <c r="AH21" s="44">
        <f>IFERROR(IF(AND(AH$17&gt;=$H21,AH$17&lt;=$I21,$D21&gt;0),ROUND(J21*(1-param_PS_LayMortWeekly)^INT((AH$17-$H21)/7)*(param_PS_RossHDP/100)*7*param_PS_RossSettableRatio,0),0),0)</f>
        <v/>
      </c>
      <c r="AI21" s="44">
        <f>IFERROR(IF(AND(AI$17&gt;=$H21,AI$17&lt;=$I21,$D21&gt;0),ROUND(J21*(1-param_PS_LayMortWeekly)^INT((AI$17-$H21)/7)*(param_PS_RossHDP/100)*7*param_PS_RossSettableRatio,0),0),0)</f>
        <v/>
      </c>
      <c r="AJ21" s="44">
        <f>IFERROR(IF(AND(AJ$17&gt;=$H21,AJ$17&lt;=$I21,$D21&gt;0),ROUND(J21*(1-param_PS_LayMortWeekly)^INT((AJ$17-$H21)/7)*(param_PS_RossHDP/100)*7*param_PS_RossSettableRatio,0),0),0)</f>
        <v/>
      </c>
      <c r="AK21" s="44">
        <f>IFERROR(IF(AND(AK$17&gt;=$H21,AK$17&lt;=$I21,$D21&gt;0),ROUND(J21*(1-param_PS_LayMortWeekly)^INT((AK$17-$H21)/7)*(param_PS_RossHDP/100)*7*param_PS_RossSettableRatio,0),0),0)</f>
        <v/>
      </c>
      <c r="AL21" s="44">
        <f>IFERROR(IF(AND(AL$17&gt;=$H21,AL$17&lt;=$I21,$D21&gt;0),ROUND(J21*(1-param_PS_LayMortWeekly)^INT((AL$17-$H21)/7)*(param_PS_RossHDP/100)*7*param_PS_RossSettableRatio,0),0),0)</f>
        <v/>
      </c>
      <c r="AM21" s="44">
        <f>IFERROR(IF(AND(AM$17&gt;=$H21,AM$17&lt;=$I21,$D21&gt;0),ROUND(J21*(1-param_PS_LayMortWeekly)^INT((AM$17-$H21)/7)*(param_PS_RossHDP/100)*7*param_PS_RossSettableRatio,0),0),0)</f>
        <v/>
      </c>
      <c r="AN21" s="44">
        <f>IFERROR(IF(AND(AN$17&gt;=$H21,AN$17&lt;=$I21,$D21&gt;0),ROUND(J21*(1-param_PS_LayMortWeekly)^INT((AN$17-$H21)/7)*(param_PS_RossHDP/100)*7*param_PS_RossSettableRatio,0),0),0)</f>
        <v/>
      </c>
      <c r="AO21" s="44">
        <f>IFERROR(IF(AND(AO$17&gt;=$H21,AO$17&lt;=$I21,$D21&gt;0),ROUND(J21*(1-param_PS_LayMortWeekly)^INT((AO$17-$H21)/7)*(param_PS_RossHDP/100)*7*param_PS_RossSettableRatio,0),0),0)</f>
        <v/>
      </c>
      <c r="AP21" s="44">
        <f>IFERROR(IF(AND(AP$17&gt;=$H21,AP$17&lt;=$I21,$D21&gt;0),ROUND(J21*(1-param_PS_LayMortWeekly)^INT((AP$17-$H21)/7)*(param_PS_RossHDP/100)*7*param_PS_RossSettableRatio,0),0),0)</f>
        <v/>
      </c>
      <c r="AQ21" s="44">
        <f>IFERROR(IF(AND(AQ$17&gt;=$H21,AQ$17&lt;=$I21,$D21&gt;0),ROUND(J21*(1-param_PS_LayMortWeekly)^INT((AQ$17-$H21)/7)*(param_PS_RossHDP/100)*7*param_PS_RossSettableRatio,0),0),0)</f>
        <v/>
      </c>
      <c r="AR21" s="44">
        <f>IFERROR(IF(AND(AR$17&gt;=$H21,AR$17&lt;=$I21,$D21&gt;0),ROUND(J21*(1-param_PS_LayMortWeekly)^INT((AR$17-$H21)/7)*(param_PS_RossHDP/100)*7*param_PS_RossSettableRatio,0),0),0)</f>
        <v/>
      </c>
      <c r="AS21" s="44">
        <f>IFERROR(IF(AND(AS$17&gt;=$H21,AS$17&lt;=$I21,$D21&gt;0),ROUND(J21*(1-param_PS_LayMortWeekly)^INT((AS$17-$H21)/7)*(param_PS_RossHDP/100)*7*param_PS_RossSettableRatio,0),0),0)</f>
        <v/>
      </c>
      <c r="AT21" s="44">
        <f>IFERROR(IF(AND(AT$17&gt;=$H21,AT$17&lt;=$I21,$D21&gt;0),ROUND(J21*(1-param_PS_LayMortWeekly)^INT((AT$17-$H21)/7)*(param_PS_RossHDP/100)*7*param_PS_RossSettableRatio,0),0),0)</f>
        <v/>
      </c>
      <c r="AU21" s="44">
        <f>IFERROR(IF(AND(AU$17&gt;=$H21,AU$17&lt;=$I21,$D21&gt;0),ROUND(J21*(1-param_PS_LayMortWeekly)^INT((AU$17-$H21)/7)*(param_PS_RossHDP/100)*7*param_PS_RossSettableRatio,0),0),0)</f>
        <v/>
      </c>
      <c r="AV21" s="44">
        <f>IFERROR(IF(AND(AV$17&gt;=$H21,AV$17&lt;=$I21,$D21&gt;0),ROUND(J21*(1-param_PS_LayMortWeekly)^INT((AV$17-$H21)/7)*(param_PS_RossHDP/100)*7*param_PS_RossSettableRatio,0),0),0)</f>
        <v/>
      </c>
      <c r="AW21" s="44">
        <f>IFERROR(IF(AND(AW$17&gt;=$H21,AW$17&lt;=$I21,$D21&gt;0),ROUND(J21*(1-param_PS_LayMortWeekly)^INT((AW$17-$H21)/7)*(param_PS_RossHDP/100)*7*param_PS_RossSettableRatio,0),0),0)</f>
        <v/>
      </c>
      <c r="AX21" s="44">
        <f>IFERROR(IF(AND(AX$17&gt;=$H21,AX$17&lt;=$I21,$D21&gt;0),ROUND(J21*(1-param_PS_LayMortWeekly)^INT((AX$17-$H21)/7)*(param_PS_RossHDP/100)*7*param_PS_RossSettableRatio,0),0),0)</f>
        <v/>
      </c>
      <c r="AY21" s="44">
        <f>IFERROR(IF(AND(AY$17&gt;=$H21,AY$17&lt;=$I21,$D21&gt;0),ROUND(J21*(1-param_PS_LayMortWeekly)^INT((AY$17-$H21)/7)*(param_PS_RossHDP/100)*7*param_PS_RossSettableRatio,0),0),0)</f>
        <v/>
      </c>
      <c r="AZ21" s="44">
        <f>IFERROR(IF(AND(AZ$17&gt;=$H21,AZ$17&lt;=$I21,$D21&gt;0),ROUND(J21*(1-param_PS_LayMortWeekly)^INT((AZ$17-$H21)/7)*(param_PS_RossHDP/100)*7*param_PS_RossSettableRatio,0),0),0)</f>
        <v/>
      </c>
      <c r="BA21" s="44">
        <f>IFERROR(IF(AND(BA$17&gt;=$H21,BA$17&lt;=$I21,$D21&gt;0),ROUND(J21*(1-param_PS_LayMortWeekly)^INT((BA$17-$H21)/7)*(param_PS_RossHDP/100)*7*param_PS_RossSettableRatio,0),0),0)</f>
        <v/>
      </c>
      <c r="BB21" s="44">
        <f>IFERROR(IF(AND(BB$17&gt;=$H21,BB$17&lt;=$I21,$D21&gt;0),ROUND(J21*(1-param_PS_LayMortWeekly)^INT((BB$17-$H21)/7)*(param_PS_RossHDP/100)*7*param_PS_RossSettableRatio,0),0),0)</f>
        <v/>
      </c>
      <c r="BC21" s="44">
        <f>IFERROR(IF(AND(BC$17&gt;=$H21,BC$17&lt;=$I21,$D21&gt;0),ROUND(J21*(1-param_PS_LayMortWeekly)^INT((BC$17-$H21)/7)*(param_PS_RossHDP/100)*7*param_PS_RossSettableRatio,0),0),0)</f>
        <v/>
      </c>
      <c r="BD21" s="44">
        <f>IFERROR(IF(AND(BD$17&gt;=$H21,BD$17&lt;=$I21,$D21&gt;0),ROUND(J21*(1-param_PS_LayMortWeekly)^INT((BD$17-$H21)/7)*(param_PS_RossHDP/100)*7*param_PS_RossSettableRatio,0),0),0)</f>
        <v/>
      </c>
      <c r="BE21" s="44">
        <f>IFERROR(IF(AND(BE$17&gt;=$H21,BE$17&lt;=$I21,$D21&gt;0),ROUND(J21*(1-param_PS_LayMortWeekly)^INT((BE$17-$H21)/7)*(param_PS_RossHDP/100)*7*param_PS_RossSettableRatio,0),0),0)</f>
        <v/>
      </c>
      <c r="BF21" s="44">
        <f>IFERROR(IF(AND(BF$17&gt;=$H21,BF$17&lt;=$I21,$D21&gt;0),ROUND(J21*(1-param_PS_LayMortWeekly)^INT((BF$17-$H21)/7)*(param_PS_RossHDP/100)*7*param_PS_RossSettableRatio,0),0),0)</f>
        <v/>
      </c>
      <c r="BG21" s="44">
        <f>IFERROR(IF(AND(BG$17&gt;=$H21,BG$17&lt;=$I21,$D21&gt;0),ROUND(J21*(1-param_PS_LayMortWeekly)^INT((BG$17-$H21)/7)*(param_PS_RossHDP/100)*7*param_PS_RossSettableRatio,0),0),0)</f>
        <v/>
      </c>
      <c r="BH21" s="44">
        <f>IFERROR(IF(AND(BH$17&gt;=$H21,BH$17&lt;=$I21,$D21&gt;0),ROUND(J21*(1-param_PS_LayMortWeekly)^INT((BH$17-$H21)/7)*(param_PS_RossHDP/100)*7*param_PS_RossSettableRatio,0),0),0)</f>
        <v/>
      </c>
      <c r="BI21" s="44">
        <f>IFERROR(IF(AND(BI$17&gt;=$H21,BI$17&lt;=$I21,$D21&gt;0),ROUND(J21*(1-param_PS_LayMortWeekly)^INT((BI$17-$H21)/7)*(param_PS_RossHDP/100)*7*param_PS_RossSettableRatio,0),0),0)</f>
        <v/>
      </c>
      <c r="BJ21" s="44">
        <f>IFERROR(IF(AND(BJ$17&gt;=$H21,BJ$17&lt;=$I21,$D21&gt;0),ROUND(J21*(1-param_PS_LayMortWeekly)^INT((BJ$17-$H21)/7)*(param_PS_RossHDP/100)*7*param_PS_RossSettableRatio,0),0),0)</f>
        <v/>
      </c>
    </row>
    <row r="22" ht="16" customHeight="1">
      <c r="A22" s="59" t="inlineStr">
        <is>
          <t>R-4</t>
        </is>
      </c>
      <c r="B22" s="60" t="inlineStr">
        <is>
          <t>Ross-308</t>
        </is>
      </c>
      <c r="C22" s="10" t="n"/>
      <c r="D22" s="11" t="n"/>
      <c r="E22" s="61">
        <f>IF($C22&gt;0,$C22-param_RossPO_LeadWeeks*7,"")</f>
        <v/>
      </c>
      <c r="F22" s="62">
        <f>IF(AND($E22&lt;&gt;"",$E22&lt;=TODAY()+56),"⚠ ACTION REQUIRED","")</f>
        <v/>
      </c>
      <c r="G22" s="12">
        <f>IF($D22&gt;0,$C22+param_PS_RearingWeeks*7,"")</f>
        <v/>
      </c>
      <c r="H22" s="12">
        <f>IF($G22&lt;&gt;"",$G22+param_PS_PreLayWeeks*7,"")</f>
        <v/>
      </c>
      <c r="I22" s="12">
        <f>IF($H22&lt;&gt;"",$H22+param_PS_LayingWeeks*7,"")</f>
        <v/>
      </c>
      <c r="J22" s="13">
        <f>IF($D22&gt;0,ROUND($D22*(1-param_PS_RearingMortality)*(1-param_PS_PreLayMortality),0),0)</f>
        <v/>
      </c>
      <c r="K22" s="44">
        <f>IFERROR(IF(AND(K$17&gt;=$H22,K$17&lt;=$I22,$D22&gt;0),ROUND(J22*(1-param_PS_LayMortWeekly)^INT((K$17-$H22)/7)*(param_PS_RossHDP/100)*7*param_PS_RossSettableRatio,0),0),0)</f>
        <v/>
      </c>
      <c r="L22" s="44">
        <f>IFERROR(IF(AND(L$17&gt;=$H22,L$17&lt;=$I22,$D22&gt;0),ROUND(J22*(1-param_PS_LayMortWeekly)^INT((L$17-$H22)/7)*(param_PS_RossHDP/100)*7*param_PS_RossSettableRatio,0),0),0)</f>
        <v/>
      </c>
      <c r="M22" s="44">
        <f>IFERROR(IF(AND(M$17&gt;=$H22,M$17&lt;=$I22,$D22&gt;0),ROUND(J22*(1-param_PS_LayMortWeekly)^INT((M$17-$H22)/7)*(param_PS_RossHDP/100)*7*param_PS_RossSettableRatio,0),0),0)</f>
        <v/>
      </c>
      <c r="N22" s="44">
        <f>IFERROR(IF(AND(N$17&gt;=$H22,N$17&lt;=$I22,$D22&gt;0),ROUND(J22*(1-param_PS_LayMortWeekly)^INT((N$17-$H22)/7)*(param_PS_RossHDP/100)*7*param_PS_RossSettableRatio,0),0),0)</f>
        <v/>
      </c>
      <c r="O22" s="44">
        <f>IFERROR(IF(AND(O$17&gt;=$H22,O$17&lt;=$I22,$D22&gt;0),ROUND(J22*(1-param_PS_LayMortWeekly)^INT((O$17-$H22)/7)*(param_PS_RossHDP/100)*7*param_PS_RossSettableRatio,0),0),0)</f>
        <v/>
      </c>
      <c r="P22" s="44">
        <f>IFERROR(IF(AND(P$17&gt;=$H22,P$17&lt;=$I22,$D22&gt;0),ROUND(J22*(1-param_PS_LayMortWeekly)^INT((P$17-$H22)/7)*(param_PS_RossHDP/100)*7*param_PS_RossSettableRatio,0),0),0)</f>
        <v/>
      </c>
      <c r="Q22" s="44">
        <f>IFERROR(IF(AND(Q$17&gt;=$H22,Q$17&lt;=$I22,$D22&gt;0),ROUND(J22*(1-param_PS_LayMortWeekly)^INT((Q$17-$H22)/7)*(param_PS_RossHDP/100)*7*param_PS_RossSettableRatio,0),0),0)</f>
        <v/>
      </c>
      <c r="R22" s="44">
        <f>IFERROR(IF(AND(R$17&gt;=$H22,R$17&lt;=$I22,$D22&gt;0),ROUND(J22*(1-param_PS_LayMortWeekly)^INT((R$17-$H22)/7)*(param_PS_RossHDP/100)*7*param_PS_RossSettableRatio,0),0),0)</f>
        <v/>
      </c>
      <c r="S22" s="44">
        <f>IFERROR(IF(AND(S$17&gt;=$H22,S$17&lt;=$I22,$D22&gt;0),ROUND(J22*(1-param_PS_LayMortWeekly)^INT((S$17-$H22)/7)*(param_PS_RossHDP/100)*7*param_PS_RossSettableRatio,0),0),0)</f>
        <v/>
      </c>
      <c r="T22" s="44">
        <f>IFERROR(IF(AND(T$17&gt;=$H22,T$17&lt;=$I22,$D22&gt;0),ROUND(J22*(1-param_PS_LayMortWeekly)^INT((T$17-$H22)/7)*(param_PS_RossHDP/100)*7*param_PS_RossSettableRatio,0),0),0)</f>
        <v/>
      </c>
      <c r="U22" s="44">
        <f>IFERROR(IF(AND(U$17&gt;=$H22,U$17&lt;=$I22,$D22&gt;0),ROUND(J22*(1-param_PS_LayMortWeekly)^INT((U$17-$H22)/7)*(param_PS_RossHDP/100)*7*param_PS_RossSettableRatio,0),0),0)</f>
        <v/>
      </c>
      <c r="V22" s="44">
        <f>IFERROR(IF(AND(V$17&gt;=$H22,V$17&lt;=$I22,$D22&gt;0),ROUND(J22*(1-param_PS_LayMortWeekly)^INT((V$17-$H22)/7)*(param_PS_RossHDP/100)*7*param_PS_RossSettableRatio,0),0),0)</f>
        <v/>
      </c>
      <c r="W22" s="44">
        <f>IFERROR(IF(AND(W$17&gt;=$H22,W$17&lt;=$I22,$D22&gt;0),ROUND(J22*(1-param_PS_LayMortWeekly)^INT((W$17-$H22)/7)*(param_PS_RossHDP/100)*7*param_PS_RossSettableRatio,0),0),0)</f>
        <v/>
      </c>
      <c r="X22" s="44">
        <f>IFERROR(IF(AND(X$17&gt;=$H22,X$17&lt;=$I22,$D22&gt;0),ROUND(J22*(1-param_PS_LayMortWeekly)^INT((X$17-$H22)/7)*(param_PS_RossHDP/100)*7*param_PS_RossSettableRatio,0),0),0)</f>
        <v/>
      </c>
      <c r="Y22" s="44">
        <f>IFERROR(IF(AND(Y$17&gt;=$H22,Y$17&lt;=$I22,$D22&gt;0),ROUND(J22*(1-param_PS_LayMortWeekly)^INT((Y$17-$H22)/7)*(param_PS_RossHDP/100)*7*param_PS_RossSettableRatio,0),0),0)</f>
        <v/>
      </c>
      <c r="Z22" s="44">
        <f>IFERROR(IF(AND(Z$17&gt;=$H22,Z$17&lt;=$I22,$D22&gt;0),ROUND(J22*(1-param_PS_LayMortWeekly)^INT((Z$17-$H22)/7)*(param_PS_RossHDP/100)*7*param_PS_RossSettableRatio,0),0),0)</f>
        <v/>
      </c>
      <c r="AA22" s="44">
        <f>IFERROR(IF(AND(AA$17&gt;=$H22,AA$17&lt;=$I22,$D22&gt;0),ROUND(J22*(1-param_PS_LayMortWeekly)^INT((AA$17-$H22)/7)*(param_PS_RossHDP/100)*7*param_PS_RossSettableRatio,0),0),0)</f>
        <v/>
      </c>
      <c r="AB22" s="44">
        <f>IFERROR(IF(AND(AB$17&gt;=$H22,AB$17&lt;=$I22,$D22&gt;0),ROUND(J22*(1-param_PS_LayMortWeekly)^INT((AB$17-$H22)/7)*(param_PS_RossHDP/100)*7*param_PS_RossSettableRatio,0),0),0)</f>
        <v/>
      </c>
      <c r="AC22" s="44">
        <f>IFERROR(IF(AND(AC$17&gt;=$H22,AC$17&lt;=$I22,$D22&gt;0),ROUND(J22*(1-param_PS_LayMortWeekly)^INT((AC$17-$H22)/7)*(param_PS_RossHDP/100)*7*param_PS_RossSettableRatio,0),0),0)</f>
        <v/>
      </c>
      <c r="AD22" s="44">
        <f>IFERROR(IF(AND(AD$17&gt;=$H22,AD$17&lt;=$I22,$D22&gt;0),ROUND(J22*(1-param_PS_LayMortWeekly)^INT((AD$17-$H22)/7)*(param_PS_RossHDP/100)*7*param_PS_RossSettableRatio,0),0),0)</f>
        <v/>
      </c>
      <c r="AE22" s="44">
        <f>IFERROR(IF(AND(AE$17&gt;=$H22,AE$17&lt;=$I22,$D22&gt;0),ROUND(J22*(1-param_PS_LayMortWeekly)^INT((AE$17-$H22)/7)*(param_PS_RossHDP/100)*7*param_PS_RossSettableRatio,0),0),0)</f>
        <v/>
      </c>
      <c r="AF22" s="44">
        <f>IFERROR(IF(AND(AF$17&gt;=$H22,AF$17&lt;=$I22,$D22&gt;0),ROUND(J22*(1-param_PS_LayMortWeekly)^INT((AF$17-$H22)/7)*(param_PS_RossHDP/100)*7*param_PS_RossSettableRatio,0),0),0)</f>
        <v/>
      </c>
      <c r="AG22" s="44">
        <f>IFERROR(IF(AND(AG$17&gt;=$H22,AG$17&lt;=$I22,$D22&gt;0),ROUND(J22*(1-param_PS_LayMortWeekly)^INT((AG$17-$H22)/7)*(param_PS_RossHDP/100)*7*param_PS_RossSettableRatio,0),0),0)</f>
        <v/>
      </c>
      <c r="AH22" s="44">
        <f>IFERROR(IF(AND(AH$17&gt;=$H22,AH$17&lt;=$I22,$D22&gt;0),ROUND(J22*(1-param_PS_LayMortWeekly)^INT((AH$17-$H22)/7)*(param_PS_RossHDP/100)*7*param_PS_RossSettableRatio,0),0),0)</f>
        <v/>
      </c>
      <c r="AI22" s="44">
        <f>IFERROR(IF(AND(AI$17&gt;=$H22,AI$17&lt;=$I22,$D22&gt;0),ROUND(J22*(1-param_PS_LayMortWeekly)^INT((AI$17-$H22)/7)*(param_PS_RossHDP/100)*7*param_PS_RossSettableRatio,0),0),0)</f>
        <v/>
      </c>
      <c r="AJ22" s="44">
        <f>IFERROR(IF(AND(AJ$17&gt;=$H22,AJ$17&lt;=$I22,$D22&gt;0),ROUND(J22*(1-param_PS_LayMortWeekly)^INT((AJ$17-$H22)/7)*(param_PS_RossHDP/100)*7*param_PS_RossSettableRatio,0),0),0)</f>
        <v/>
      </c>
      <c r="AK22" s="44">
        <f>IFERROR(IF(AND(AK$17&gt;=$H22,AK$17&lt;=$I22,$D22&gt;0),ROUND(J22*(1-param_PS_LayMortWeekly)^INT((AK$17-$H22)/7)*(param_PS_RossHDP/100)*7*param_PS_RossSettableRatio,0),0),0)</f>
        <v/>
      </c>
      <c r="AL22" s="44">
        <f>IFERROR(IF(AND(AL$17&gt;=$H22,AL$17&lt;=$I22,$D22&gt;0),ROUND(J22*(1-param_PS_LayMortWeekly)^INT((AL$17-$H22)/7)*(param_PS_RossHDP/100)*7*param_PS_RossSettableRatio,0),0),0)</f>
        <v/>
      </c>
      <c r="AM22" s="44">
        <f>IFERROR(IF(AND(AM$17&gt;=$H22,AM$17&lt;=$I22,$D22&gt;0),ROUND(J22*(1-param_PS_LayMortWeekly)^INT((AM$17-$H22)/7)*(param_PS_RossHDP/100)*7*param_PS_RossSettableRatio,0),0),0)</f>
        <v/>
      </c>
      <c r="AN22" s="44">
        <f>IFERROR(IF(AND(AN$17&gt;=$H22,AN$17&lt;=$I22,$D22&gt;0),ROUND(J22*(1-param_PS_LayMortWeekly)^INT((AN$17-$H22)/7)*(param_PS_RossHDP/100)*7*param_PS_RossSettableRatio,0),0),0)</f>
        <v/>
      </c>
      <c r="AO22" s="44">
        <f>IFERROR(IF(AND(AO$17&gt;=$H22,AO$17&lt;=$I22,$D22&gt;0),ROUND(J22*(1-param_PS_LayMortWeekly)^INT((AO$17-$H22)/7)*(param_PS_RossHDP/100)*7*param_PS_RossSettableRatio,0),0),0)</f>
        <v/>
      </c>
      <c r="AP22" s="44">
        <f>IFERROR(IF(AND(AP$17&gt;=$H22,AP$17&lt;=$I22,$D22&gt;0),ROUND(J22*(1-param_PS_LayMortWeekly)^INT((AP$17-$H22)/7)*(param_PS_RossHDP/100)*7*param_PS_RossSettableRatio,0),0),0)</f>
        <v/>
      </c>
      <c r="AQ22" s="44">
        <f>IFERROR(IF(AND(AQ$17&gt;=$H22,AQ$17&lt;=$I22,$D22&gt;0),ROUND(J22*(1-param_PS_LayMortWeekly)^INT((AQ$17-$H22)/7)*(param_PS_RossHDP/100)*7*param_PS_RossSettableRatio,0),0),0)</f>
        <v/>
      </c>
      <c r="AR22" s="44">
        <f>IFERROR(IF(AND(AR$17&gt;=$H22,AR$17&lt;=$I22,$D22&gt;0),ROUND(J22*(1-param_PS_LayMortWeekly)^INT((AR$17-$H22)/7)*(param_PS_RossHDP/100)*7*param_PS_RossSettableRatio,0),0),0)</f>
        <v/>
      </c>
      <c r="AS22" s="44">
        <f>IFERROR(IF(AND(AS$17&gt;=$H22,AS$17&lt;=$I22,$D22&gt;0),ROUND(J22*(1-param_PS_LayMortWeekly)^INT((AS$17-$H22)/7)*(param_PS_RossHDP/100)*7*param_PS_RossSettableRatio,0),0),0)</f>
        <v/>
      </c>
      <c r="AT22" s="44">
        <f>IFERROR(IF(AND(AT$17&gt;=$H22,AT$17&lt;=$I22,$D22&gt;0),ROUND(J22*(1-param_PS_LayMortWeekly)^INT((AT$17-$H22)/7)*(param_PS_RossHDP/100)*7*param_PS_RossSettableRatio,0),0),0)</f>
        <v/>
      </c>
      <c r="AU22" s="44">
        <f>IFERROR(IF(AND(AU$17&gt;=$H22,AU$17&lt;=$I22,$D22&gt;0),ROUND(J22*(1-param_PS_LayMortWeekly)^INT((AU$17-$H22)/7)*(param_PS_RossHDP/100)*7*param_PS_RossSettableRatio,0),0),0)</f>
        <v/>
      </c>
      <c r="AV22" s="44">
        <f>IFERROR(IF(AND(AV$17&gt;=$H22,AV$17&lt;=$I22,$D22&gt;0),ROUND(J22*(1-param_PS_LayMortWeekly)^INT((AV$17-$H22)/7)*(param_PS_RossHDP/100)*7*param_PS_RossSettableRatio,0),0),0)</f>
        <v/>
      </c>
      <c r="AW22" s="44">
        <f>IFERROR(IF(AND(AW$17&gt;=$H22,AW$17&lt;=$I22,$D22&gt;0),ROUND(J22*(1-param_PS_LayMortWeekly)^INT((AW$17-$H22)/7)*(param_PS_RossHDP/100)*7*param_PS_RossSettableRatio,0),0),0)</f>
        <v/>
      </c>
      <c r="AX22" s="44">
        <f>IFERROR(IF(AND(AX$17&gt;=$H22,AX$17&lt;=$I22,$D22&gt;0),ROUND(J22*(1-param_PS_LayMortWeekly)^INT((AX$17-$H22)/7)*(param_PS_RossHDP/100)*7*param_PS_RossSettableRatio,0),0),0)</f>
        <v/>
      </c>
      <c r="AY22" s="44">
        <f>IFERROR(IF(AND(AY$17&gt;=$H22,AY$17&lt;=$I22,$D22&gt;0),ROUND(J22*(1-param_PS_LayMortWeekly)^INT((AY$17-$H22)/7)*(param_PS_RossHDP/100)*7*param_PS_RossSettableRatio,0),0),0)</f>
        <v/>
      </c>
      <c r="AZ22" s="44">
        <f>IFERROR(IF(AND(AZ$17&gt;=$H22,AZ$17&lt;=$I22,$D22&gt;0),ROUND(J22*(1-param_PS_LayMortWeekly)^INT((AZ$17-$H22)/7)*(param_PS_RossHDP/100)*7*param_PS_RossSettableRatio,0),0),0)</f>
        <v/>
      </c>
      <c r="BA22" s="44">
        <f>IFERROR(IF(AND(BA$17&gt;=$H22,BA$17&lt;=$I22,$D22&gt;0),ROUND(J22*(1-param_PS_LayMortWeekly)^INT((BA$17-$H22)/7)*(param_PS_RossHDP/100)*7*param_PS_RossSettableRatio,0),0),0)</f>
        <v/>
      </c>
      <c r="BB22" s="44">
        <f>IFERROR(IF(AND(BB$17&gt;=$H22,BB$17&lt;=$I22,$D22&gt;0),ROUND(J22*(1-param_PS_LayMortWeekly)^INT((BB$17-$H22)/7)*(param_PS_RossHDP/100)*7*param_PS_RossSettableRatio,0),0),0)</f>
        <v/>
      </c>
      <c r="BC22" s="44">
        <f>IFERROR(IF(AND(BC$17&gt;=$H22,BC$17&lt;=$I22,$D22&gt;0),ROUND(J22*(1-param_PS_LayMortWeekly)^INT((BC$17-$H22)/7)*(param_PS_RossHDP/100)*7*param_PS_RossSettableRatio,0),0),0)</f>
        <v/>
      </c>
      <c r="BD22" s="44">
        <f>IFERROR(IF(AND(BD$17&gt;=$H22,BD$17&lt;=$I22,$D22&gt;0),ROUND(J22*(1-param_PS_LayMortWeekly)^INT((BD$17-$H22)/7)*(param_PS_RossHDP/100)*7*param_PS_RossSettableRatio,0),0),0)</f>
        <v/>
      </c>
      <c r="BE22" s="44">
        <f>IFERROR(IF(AND(BE$17&gt;=$H22,BE$17&lt;=$I22,$D22&gt;0),ROUND(J22*(1-param_PS_LayMortWeekly)^INT((BE$17-$H22)/7)*(param_PS_RossHDP/100)*7*param_PS_RossSettableRatio,0),0),0)</f>
        <v/>
      </c>
      <c r="BF22" s="44">
        <f>IFERROR(IF(AND(BF$17&gt;=$H22,BF$17&lt;=$I22,$D22&gt;0),ROUND(J22*(1-param_PS_LayMortWeekly)^INT((BF$17-$H22)/7)*(param_PS_RossHDP/100)*7*param_PS_RossSettableRatio,0),0),0)</f>
        <v/>
      </c>
      <c r="BG22" s="44">
        <f>IFERROR(IF(AND(BG$17&gt;=$H22,BG$17&lt;=$I22,$D22&gt;0),ROUND(J22*(1-param_PS_LayMortWeekly)^INT((BG$17-$H22)/7)*(param_PS_RossHDP/100)*7*param_PS_RossSettableRatio,0),0),0)</f>
        <v/>
      </c>
      <c r="BH22" s="44">
        <f>IFERROR(IF(AND(BH$17&gt;=$H22,BH$17&lt;=$I22,$D22&gt;0),ROUND(J22*(1-param_PS_LayMortWeekly)^INT((BH$17-$H22)/7)*(param_PS_RossHDP/100)*7*param_PS_RossSettableRatio,0),0),0)</f>
        <v/>
      </c>
      <c r="BI22" s="44">
        <f>IFERROR(IF(AND(BI$17&gt;=$H22,BI$17&lt;=$I22,$D22&gt;0),ROUND(J22*(1-param_PS_LayMortWeekly)^INT((BI$17-$H22)/7)*(param_PS_RossHDP/100)*7*param_PS_RossSettableRatio,0),0),0)</f>
        <v/>
      </c>
      <c r="BJ22" s="44">
        <f>IFERROR(IF(AND(BJ$17&gt;=$H22,BJ$17&lt;=$I22,$D22&gt;0),ROUND(J22*(1-param_PS_LayMortWeekly)^INT((BJ$17-$H22)/7)*(param_PS_RossHDP/100)*7*param_PS_RossSettableRatio,0),0),0)</f>
        <v/>
      </c>
    </row>
    <row r="23" ht="16" customHeight="1">
      <c r="A23" s="59" t="inlineStr">
        <is>
          <t>R-5</t>
        </is>
      </c>
      <c r="B23" s="60" t="inlineStr">
        <is>
          <t>Ross-308</t>
        </is>
      </c>
      <c r="C23" s="10" t="n"/>
      <c r="D23" s="11" t="n"/>
      <c r="E23" s="61">
        <f>IF($C23&gt;0,$C23-param_RossPO_LeadWeeks*7,"")</f>
        <v/>
      </c>
      <c r="F23" s="62">
        <f>IF(AND($E23&lt;&gt;"",$E23&lt;=TODAY()+56),"⚠ ACTION REQUIRED","")</f>
        <v/>
      </c>
      <c r="G23" s="12">
        <f>IF($D23&gt;0,$C23+param_PS_RearingWeeks*7,"")</f>
        <v/>
      </c>
      <c r="H23" s="12">
        <f>IF($G23&lt;&gt;"",$G23+param_PS_PreLayWeeks*7,"")</f>
        <v/>
      </c>
      <c r="I23" s="12">
        <f>IF($H23&lt;&gt;"",$H23+param_PS_LayingWeeks*7,"")</f>
        <v/>
      </c>
      <c r="J23" s="13">
        <f>IF($D23&gt;0,ROUND($D23*(1-param_PS_RearingMortality)*(1-param_PS_PreLayMortality),0),0)</f>
        <v/>
      </c>
      <c r="K23" s="44">
        <f>IFERROR(IF(AND(K$17&gt;=$H23,K$17&lt;=$I23,$D23&gt;0),ROUND(J23*(1-param_PS_LayMortWeekly)^INT((K$17-$H23)/7)*(param_PS_RossHDP/100)*7*param_PS_RossSettableRatio,0),0),0)</f>
        <v/>
      </c>
      <c r="L23" s="44">
        <f>IFERROR(IF(AND(L$17&gt;=$H23,L$17&lt;=$I23,$D23&gt;0),ROUND(J23*(1-param_PS_LayMortWeekly)^INT((L$17-$H23)/7)*(param_PS_RossHDP/100)*7*param_PS_RossSettableRatio,0),0),0)</f>
        <v/>
      </c>
      <c r="M23" s="44">
        <f>IFERROR(IF(AND(M$17&gt;=$H23,M$17&lt;=$I23,$D23&gt;0),ROUND(J23*(1-param_PS_LayMortWeekly)^INT((M$17-$H23)/7)*(param_PS_RossHDP/100)*7*param_PS_RossSettableRatio,0),0),0)</f>
        <v/>
      </c>
      <c r="N23" s="44">
        <f>IFERROR(IF(AND(N$17&gt;=$H23,N$17&lt;=$I23,$D23&gt;0),ROUND(J23*(1-param_PS_LayMortWeekly)^INT((N$17-$H23)/7)*(param_PS_RossHDP/100)*7*param_PS_RossSettableRatio,0),0),0)</f>
        <v/>
      </c>
      <c r="O23" s="44">
        <f>IFERROR(IF(AND(O$17&gt;=$H23,O$17&lt;=$I23,$D23&gt;0),ROUND(J23*(1-param_PS_LayMortWeekly)^INT((O$17-$H23)/7)*(param_PS_RossHDP/100)*7*param_PS_RossSettableRatio,0),0),0)</f>
        <v/>
      </c>
      <c r="P23" s="44">
        <f>IFERROR(IF(AND(P$17&gt;=$H23,P$17&lt;=$I23,$D23&gt;0),ROUND(J23*(1-param_PS_LayMortWeekly)^INT((P$17-$H23)/7)*(param_PS_RossHDP/100)*7*param_PS_RossSettableRatio,0),0),0)</f>
        <v/>
      </c>
      <c r="Q23" s="44">
        <f>IFERROR(IF(AND(Q$17&gt;=$H23,Q$17&lt;=$I23,$D23&gt;0),ROUND(J23*(1-param_PS_LayMortWeekly)^INT((Q$17-$H23)/7)*(param_PS_RossHDP/100)*7*param_PS_RossSettableRatio,0),0),0)</f>
        <v/>
      </c>
      <c r="R23" s="44">
        <f>IFERROR(IF(AND(R$17&gt;=$H23,R$17&lt;=$I23,$D23&gt;0),ROUND(J23*(1-param_PS_LayMortWeekly)^INT((R$17-$H23)/7)*(param_PS_RossHDP/100)*7*param_PS_RossSettableRatio,0),0),0)</f>
        <v/>
      </c>
      <c r="S23" s="44">
        <f>IFERROR(IF(AND(S$17&gt;=$H23,S$17&lt;=$I23,$D23&gt;0),ROUND(J23*(1-param_PS_LayMortWeekly)^INT((S$17-$H23)/7)*(param_PS_RossHDP/100)*7*param_PS_RossSettableRatio,0),0),0)</f>
        <v/>
      </c>
      <c r="T23" s="44">
        <f>IFERROR(IF(AND(T$17&gt;=$H23,T$17&lt;=$I23,$D23&gt;0),ROUND(J23*(1-param_PS_LayMortWeekly)^INT((T$17-$H23)/7)*(param_PS_RossHDP/100)*7*param_PS_RossSettableRatio,0),0),0)</f>
        <v/>
      </c>
      <c r="U23" s="44">
        <f>IFERROR(IF(AND(U$17&gt;=$H23,U$17&lt;=$I23,$D23&gt;0),ROUND(J23*(1-param_PS_LayMortWeekly)^INT((U$17-$H23)/7)*(param_PS_RossHDP/100)*7*param_PS_RossSettableRatio,0),0),0)</f>
        <v/>
      </c>
      <c r="V23" s="44">
        <f>IFERROR(IF(AND(V$17&gt;=$H23,V$17&lt;=$I23,$D23&gt;0),ROUND(J23*(1-param_PS_LayMortWeekly)^INT((V$17-$H23)/7)*(param_PS_RossHDP/100)*7*param_PS_RossSettableRatio,0),0),0)</f>
        <v/>
      </c>
      <c r="W23" s="44">
        <f>IFERROR(IF(AND(W$17&gt;=$H23,W$17&lt;=$I23,$D23&gt;0),ROUND(J23*(1-param_PS_LayMortWeekly)^INT((W$17-$H23)/7)*(param_PS_RossHDP/100)*7*param_PS_RossSettableRatio,0),0),0)</f>
        <v/>
      </c>
      <c r="X23" s="44">
        <f>IFERROR(IF(AND(X$17&gt;=$H23,X$17&lt;=$I23,$D23&gt;0),ROUND(J23*(1-param_PS_LayMortWeekly)^INT((X$17-$H23)/7)*(param_PS_RossHDP/100)*7*param_PS_RossSettableRatio,0),0),0)</f>
        <v/>
      </c>
      <c r="Y23" s="44">
        <f>IFERROR(IF(AND(Y$17&gt;=$H23,Y$17&lt;=$I23,$D23&gt;0),ROUND(J23*(1-param_PS_LayMortWeekly)^INT((Y$17-$H23)/7)*(param_PS_RossHDP/100)*7*param_PS_RossSettableRatio,0),0),0)</f>
        <v/>
      </c>
      <c r="Z23" s="44">
        <f>IFERROR(IF(AND(Z$17&gt;=$H23,Z$17&lt;=$I23,$D23&gt;0),ROUND(J23*(1-param_PS_LayMortWeekly)^INT((Z$17-$H23)/7)*(param_PS_RossHDP/100)*7*param_PS_RossSettableRatio,0),0),0)</f>
        <v/>
      </c>
      <c r="AA23" s="44">
        <f>IFERROR(IF(AND(AA$17&gt;=$H23,AA$17&lt;=$I23,$D23&gt;0),ROUND(J23*(1-param_PS_LayMortWeekly)^INT((AA$17-$H23)/7)*(param_PS_RossHDP/100)*7*param_PS_RossSettableRatio,0),0),0)</f>
        <v/>
      </c>
      <c r="AB23" s="44">
        <f>IFERROR(IF(AND(AB$17&gt;=$H23,AB$17&lt;=$I23,$D23&gt;0),ROUND(J23*(1-param_PS_LayMortWeekly)^INT((AB$17-$H23)/7)*(param_PS_RossHDP/100)*7*param_PS_RossSettableRatio,0),0),0)</f>
        <v/>
      </c>
      <c r="AC23" s="44">
        <f>IFERROR(IF(AND(AC$17&gt;=$H23,AC$17&lt;=$I23,$D23&gt;0),ROUND(J23*(1-param_PS_LayMortWeekly)^INT((AC$17-$H23)/7)*(param_PS_RossHDP/100)*7*param_PS_RossSettableRatio,0),0),0)</f>
        <v/>
      </c>
      <c r="AD23" s="44">
        <f>IFERROR(IF(AND(AD$17&gt;=$H23,AD$17&lt;=$I23,$D23&gt;0),ROUND(J23*(1-param_PS_LayMortWeekly)^INT((AD$17-$H23)/7)*(param_PS_RossHDP/100)*7*param_PS_RossSettableRatio,0),0),0)</f>
        <v/>
      </c>
      <c r="AE23" s="44">
        <f>IFERROR(IF(AND(AE$17&gt;=$H23,AE$17&lt;=$I23,$D23&gt;0),ROUND(J23*(1-param_PS_LayMortWeekly)^INT((AE$17-$H23)/7)*(param_PS_RossHDP/100)*7*param_PS_RossSettableRatio,0),0),0)</f>
        <v/>
      </c>
      <c r="AF23" s="44">
        <f>IFERROR(IF(AND(AF$17&gt;=$H23,AF$17&lt;=$I23,$D23&gt;0),ROUND(J23*(1-param_PS_LayMortWeekly)^INT((AF$17-$H23)/7)*(param_PS_RossHDP/100)*7*param_PS_RossSettableRatio,0),0),0)</f>
        <v/>
      </c>
      <c r="AG23" s="44">
        <f>IFERROR(IF(AND(AG$17&gt;=$H23,AG$17&lt;=$I23,$D23&gt;0),ROUND(J23*(1-param_PS_LayMortWeekly)^INT((AG$17-$H23)/7)*(param_PS_RossHDP/100)*7*param_PS_RossSettableRatio,0),0),0)</f>
        <v/>
      </c>
      <c r="AH23" s="44">
        <f>IFERROR(IF(AND(AH$17&gt;=$H23,AH$17&lt;=$I23,$D23&gt;0),ROUND(J23*(1-param_PS_LayMortWeekly)^INT((AH$17-$H23)/7)*(param_PS_RossHDP/100)*7*param_PS_RossSettableRatio,0),0),0)</f>
        <v/>
      </c>
      <c r="AI23" s="44">
        <f>IFERROR(IF(AND(AI$17&gt;=$H23,AI$17&lt;=$I23,$D23&gt;0),ROUND(J23*(1-param_PS_LayMortWeekly)^INT((AI$17-$H23)/7)*(param_PS_RossHDP/100)*7*param_PS_RossSettableRatio,0),0),0)</f>
        <v/>
      </c>
      <c r="AJ23" s="44">
        <f>IFERROR(IF(AND(AJ$17&gt;=$H23,AJ$17&lt;=$I23,$D23&gt;0),ROUND(J23*(1-param_PS_LayMortWeekly)^INT((AJ$17-$H23)/7)*(param_PS_RossHDP/100)*7*param_PS_RossSettableRatio,0),0),0)</f>
        <v/>
      </c>
      <c r="AK23" s="44">
        <f>IFERROR(IF(AND(AK$17&gt;=$H23,AK$17&lt;=$I23,$D23&gt;0),ROUND(J23*(1-param_PS_LayMortWeekly)^INT((AK$17-$H23)/7)*(param_PS_RossHDP/100)*7*param_PS_RossSettableRatio,0),0),0)</f>
        <v/>
      </c>
      <c r="AL23" s="44">
        <f>IFERROR(IF(AND(AL$17&gt;=$H23,AL$17&lt;=$I23,$D23&gt;0),ROUND(J23*(1-param_PS_LayMortWeekly)^INT((AL$17-$H23)/7)*(param_PS_RossHDP/100)*7*param_PS_RossSettableRatio,0),0),0)</f>
        <v/>
      </c>
      <c r="AM23" s="44">
        <f>IFERROR(IF(AND(AM$17&gt;=$H23,AM$17&lt;=$I23,$D23&gt;0),ROUND(J23*(1-param_PS_LayMortWeekly)^INT((AM$17-$H23)/7)*(param_PS_RossHDP/100)*7*param_PS_RossSettableRatio,0),0),0)</f>
        <v/>
      </c>
      <c r="AN23" s="44">
        <f>IFERROR(IF(AND(AN$17&gt;=$H23,AN$17&lt;=$I23,$D23&gt;0),ROUND(J23*(1-param_PS_LayMortWeekly)^INT((AN$17-$H23)/7)*(param_PS_RossHDP/100)*7*param_PS_RossSettableRatio,0),0),0)</f>
        <v/>
      </c>
      <c r="AO23" s="44">
        <f>IFERROR(IF(AND(AO$17&gt;=$H23,AO$17&lt;=$I23,$D23&gt;0),ROUND(J23*(1-param_PS_LayMortWeekly)^INT((AO$17-$H23)/7)*(param_PS_RossHDP/100)*7*param_PS_RossSettableRatio,0),0),0)</f>
        <v/>
      </c>
      <c r="AP23" s="44">
        <f>IFERROR(IF(AND(AP$17&gt;=$H23,AP$17&lt;=$I23,$D23&gt;0),ROUND(J23*(1-param_PS_LayMortWeekly)^INT((AP$17-$H23)/7)*(param_PS_RossHDP/100)*7*param_PS_RossSettableRatio,0),0),0)</f>
        <v/>
      </c>
      <c r="AQ23" s="44">
        <f>IFERROR(IF(AND(AQ$17&gt;=$H23,AQ$17&lt;=$I23,$D23&gt;0),ROUND(J23*(1-param_PS_LayMortWeekly)^INT((AQ$17-$H23)/7)*(param_PS_RossHDP/100)*7*param_PS_RossSettableRatio,0),0),0)</f>
        <v/>
      </c>
      <c r="AR23" s="44">
        <f>IFERROR(IF(AND(AR$17&gt;=$H23,AR$17&lt;=$I23,$D23&gt;0),ROUND(J23*(1-param_PS_LayMortWeekly)^INT((AR$17-$H23)/7)*(param_PS_RossHDP/100)*7*param_PS_RossSettableRatio,0),0),0)</f>
        <v/>
      </c>
      <c r="AS23" s="44">
        <f>IFERROR(IF(AND(AS$17&gt;=$H23,AS$17&lt;=$I23,$D23&gt;0),ROUND(J23*(1-param_PS_LayMortWeekly)^INT((AS$17-$H23)/7)*(param_PS_RossHDP/100)*7*param_PS_RossSettableRatio,0),0),0)</f>
        <v/>
      </c>
      <c r="AT23" s="44">
        <f>IFERROR(IF(AND(AT$17&gt;=$H23,AT$17&lt;=$I23,$D23&gt;0),ROUND(J23*(1-param_PS_LayMortWeekly)^INT((AT$17-$H23)/7)*(param_PS_RossHDP/100)*7*param_PS_RossSettableRatio,0),0),0)</f>
        <v/>
      </c>
      <c r="AU23" s="44">
        <f>IFERROR(IF(AND(AU$17&gt;=$H23,AU$17&lt;=$I23,$D23&gt;0),ROUND(J23*(1-param_PS_LayMortWeekly)^INT((AU$17-$H23)/7)*(param_PS_RossHDP/100)*7*param_PS_RossSettableRatio,0),0),0)</f>
        <v/>
      </c>
      <c r="AV23" s="44">
        <f>IFERROR(IF(AND(AV$17&gt;=$H23,AV$17&lt;=$I23,$D23&gt;0),ROUND(J23*(1-param_PS_LayMortWeekly)^INT((AV$17-$H23)/7)*(param_PS_RossHDP/100)*7*param_PS_RossSettableRatio,0),0),0)</f>
        <v/>
      </c>
      <c r="AW23" s="44">
        <f>IFERROR(IF(AND(AW$17&gt;=$H23,AW$17&lt;=$I23,$D23&gt;0),ROUND(J23*(1-param_PS_LayMortWeekly)^INT((AW$17-$H23)/7)*(param_PS_RossHDP/100)*7*param_PS_RossSettableRatio,0),0),0)</f>
        <v/>
      </c>
      <c r="AX23" s="44">
        <f>IFERROR(IF(AND(AX$17&gt;=$H23,AX$17&lt;=$I23,$D23&gt;0),ROUND(J23*(1-param_PS_LayMortWeekly)^INT((AX$17-$H23)/7)*(param_PS_RossHDP/100)*7*param_PS_RossSettableRatio,0),0),0)</f>
        <v/>
      </c>
      <c r="AY23" s="44">
        <f>IFERROR(IF(AND(AY$17&gt;=$H23,AY$17&lt;=$I23,$D23&gt;0),ROUND(J23*(1-param_PS_LayMortWeekly)^INT((AY$17-$H23)/7)*(param_PS_RossHDP/100)*7*param_PS_RossSettableRatio,0),0),0)</f>
        <v/>
      </c>
      <c r="AZ23" s="44">
        <f>IFERROR(IF(AND(AZ$17&gt;=$H23,AZ$17&lt;=$I23,$D23&gt;0),ROUND(J23*(1-param_PS_LayMortWeekly)^INT((AZ$17-$H23)/7)*(param_PS_RossHDP/100)*7*param_PS_RossSettableRatio,0),0),0)</f>
        <v/>
      </c>
      <c r="BA23" s="44">
        <f>IFERROR(IF(AND(BA$17&gt;=$H23,BA$17&lt;=$I23,$D23&gt;0),ROUND(J23*(1-param_PS_LayMortWeekly)^INT((BA$17-$H23)/7)*(param_PS_RossHDP/100)*7*param_PS_RossSettableRatio,0),0),0)</f>
        <v/>
      </c>
      <c r="BB23" s="44">
        <f>IFERROR(IF(AND(BB$17&gt;=$H23,BB$17&lt;=$I23,$D23&gt;0),ROUND(J23*(1-param_PS_LayMortWeekly)^INT((BB$17-$H23)/7)*(param_PS_RossHDP/100)*7*param_PS_RossSettableRatio,0),0),0)</f>
        <v/>
      </c>
      <c r="BC23" s="44">
        <f>IFERROR(IF(AND(BC$17&gt;=$H23,BC$17&lt;=$I23,$D23&gt;0),ROUND(J23*(1-param_PS_LayMortWeekly)^INT((BC$17-$H23)/7)*(param_PS_RossHDP/100)*7*param_PS_RossSettableRatio,0),0),0)</f>
        <v/>
      </c>
      <c r="BD23" s="44">
        <f>IFERROR(IF(AND(BD$17&gt;=$H23,BD$17&lt;=$I23,$D23&gt;0),ROUND(J23*(1-param_PS_LayMortWeekly)^INT((BD$17-$H23)/7)*(param_PS_RossHDP/100)*7*param_PS_RossSettableRatio,0),0),0)</f>
        <v/>
      </c>
      <c r="BE23" s="44">
        <f>IFERROR(IF(AND(BE$17&gt;=$H23,BE$17&lt;=$I23,$D23&gt;0),ROUND(J23*(1-param_PS_LayMortWeekly)^INT((BE$17-$H23)/7)*(param_PS_RossHDP/100)*7*param_PS_RossSettableRatio,0),0),0)</f>
        <v/>
      </c>
      <c r="BF23" s="44">
        <f>IFERROR(IF(AND(BF$17&gt;=$H23,BF$17&lt;=$I23,$D23&gt;0),ROUND(J23*(1-param_PS_LayMortWeekly)^INT((BF$17-$H23)/7)*(param_PS_RossHDP/100)*7*param_PS_RossSettableRatio,0),0),0)</f>
        <v/>
      </c>
      <c r="BG23" s="44">
        <f>IFERROR(IF(AND(BG$17&gt;=$H23,BG$17&lt;=$I23,$D23&gt;0),ROUND(J23*(1-param_PS_LayMortWeekly)^INT((BG$17-$H23)/7)*(param_PS_RossHDP/100)*7*param_PS_RossSettableRatio,0),0),0)</f>
        <v/>
      </c>
      <c r="BH23" s="44">
        <f>IFERROR(IF(AND(BH$17&gt;=$H23,BH$17&lt;=$I23,$D23&gt;0),ROUND(J23*(1-param_PS_LayMortWeekly)^INT((BH$17-$H23)/7)*(param_PS_RossHDP/100)*7*param_PS_RossSettableRatio,0),0),0)</f>
        <v/>
      </c>
      <c r="BI23" s="44">
        <f>IFERROR(IF(AND(BI$17&gt;=$H23,BI$17&lt;=$I23,$D23&gt;0),ROUND(J23*(1-param_PS_LayMortWeekly)^INT((BI$17-$H23)/7)*(param_PS_RossHDP/100)*7*param_PS_RossSettableRatio,0),0),0)</f>
        <v/>
      </c>
      <c r="BJ23" s="44">
        <f>IFERROR(IF(AND(BJ$17&gt;=$H23,BJ$17&lt;=$I23,$D23&gt;0),ROUND(J23*(1-param_PS_LayMortWeekly)^INT((BJ$17-$H23)/7)*(param_PS_RossHDP/100)*7*param_PS_RossSettableRatio,0),0),0)</f>
        <v/>
      </c>
    </row>
    <row r="24" ht="16" customHeight="1">
      <c r="A24" s="59" t="inlineStr">
        <is>
          <t>R-6</t>
        </is>
      </c>
      <c r="B24" s="60" t="inlineStr">
        <is>
          <t>Ross-308</t>
        </is>
      </c>
      <c r="C24" s="10" t="n"/>
      <c r="D24" s="11" t="n"/>
      <c r="E24" s="61">
        <f>IF($C24&gt;0,$C24-param_RossPO_LeadWeeks*7,"")</f>
        <v/>
      </c>
      <c r="F24" s="62">
        <f>IF(AND($E24&lt;&gt;"",$E24&lt;=TODAY()+56),"⚠ ACTION REQUIRED","")</f>
        <v/>
      </c>
      <c r="G24" s="12">
        <f>IF($D24&gt;0,$C24+param_PS_RearingWeeks*7,"")</f>
        <v/>
      </c>
      <c r="H24" s="12">
        <f>IF($G24&lt;&gt;"",$G24+param_PS_PreLayWeeks*7,"")</f>
        <v/>
      </c>
      <c r="I24" s="12">
        <f>IF($H24&lt;&gt;"",$H24+param_PS_LayingWeeks*7,"")</f>
        <v/>
      </c>
      <c r="J24" s="13">
        <f>IF($D24&gt;0,ROUND($D24*(1-param_PS_RearingMortality)*(1-param_PS_PreLayMortality),0),0)</f>
        <v/>
      </c>
      <c r="K24" s="44">
        <f>IFERROR(IF(AND(K$17&gt;=$H24,K$17&lt;=$I24,$D24&gt;0),ROUND(J24*(1-param_PS_LayMortWeekly)^INT((K$17-$H24)/7)*(param_PS_RossHDP/100)*7*param_PS_RossSettableRatio,0),0),0)</f>
        <v/>
      </c>
      <c r="L24" s="44">
        <f>IFERROR(IF(AND(L$17&gt;=$H24,L$17&lt;=$I24,$D24&gt;0),ROUND(J24*(1-param_PS_LayMortWeekly)^INT((L$17-$H24)/7)*(param_PS_RossHDP/100)*7*param_PS_RossSettableRatio,0),0),0)</f>
        <v/>
      </c>
      <c r="M24" s="44">
        <f>IFERROR(IF(AND(M$17&gt;=$H24,M$17&lt;=$I24,$D24&gt;0),ROUND(J24*(1-param_PS_LayMortWeekly)^INT((M$17-$H24)/7)*(param_PS_RossHDP/100)*7*param_PS_RossSettableRatio,0),0),0)</f>
        <v/>
      </c>
      <c r="N24" s="44">
        <f>IFERROR(IF(AND(N$17&gt;=$H24,N$17&lt;=$I24,$D24&gt;0),ROUND(J24*(1-param_PS_LayMortWeekly)^INT((N$17-$H24)/7)*(param_PS_RossHDP/100)*7*param_PS_RossSettableRatio,0),0),0)</f>
        <v/>
      </c>
      <c r="O24" s="44">
        <f>IFERROR(IF(AND(O$17&gt;=$H24,O$17&lt;=$I24,$D24&gt;0),ROUND(J24*(1-param_PS_LayMortWeekly)^INT((O$17-$H24)/7)*(param_PS_RossHDP/100)*7*param_PS_RossSettableRatio,0),0),0)</f>
        <v/>
      </c>
      <c r="P24" s="44">
        <f>IFERROR(IF(AND(P$17&gt;=$H24,P$17&lt;=$I24,$D24&gt;0),ROUND(J24*(1-param_PS_LayMortWeekly)^INT((P$17-$H24)/7)*(param_PS_RossHDP/100)*7*param_PS_RossSettableRatio,0),0),0)</f>
        <v/>
      </c>
      <c r="Q24" s="44">
        <f>IFERROR(IF(AND(Q$17&gt;=$H24,Q$17&lt;=$I24,$D24&gt;0),ROUND(J24*(1-param_PS_LayMortWeekly)^INT((Q$17-$H24)/7)*(param_PS_RossHDP/100)*7*param_PS_RossSettableRatio,0),0),0)</f>
        <v/>
      </c>
      <c r="R24" s="44">
        <f>IFERROR(IF(AND(R$17&gt;=$H24,R$17&lt;=$I24,$D24&gt;0),ROUND(J24*(1-param_PS_LayMortWeekly)^INT((R$17-$H24)/7)*(param_PS_RossHDP/100)*7*param_PS_RossSettableRatio,0),0),0)</f>
        <v/>
      </c>
      <c r="S24" s="44">
        <f>IFERROR(IF(AND(S$17&gt;=$H24,S$17&lt;=$I24,$D24&gt;0),ROUND(J24*(1-param_PS_LayMortWeekly)^INT((S$17-$H24)/7)*(param_PS_RossHDP/100)*7*param_PS_RossSettableRatio,0),0),0)</f>
        <v/>
      </c>
      <c r="T24" s="44">
        <f>IFERROR(IF(AND(T$17&gt;=$H24,T$17&lt;=$I24,$D24&gt;0),ROUND(J24*(1-param_PS_LayMortWeekly)^INT((T$17-$H24)/7)*(param_PS_RossHDP/100)*7*param_PS_RossSettableRatio,0),0),0)</f>
        <v/>
      </c>
      <c r="U24" s="44">
        <f>IFERROR(IF(AND(U$17&gt;=$H24,U$17&lt;=$I24,$D24&gt;0),ROUND(J24*(1-param_PS_LayMortWeekly)^INT((U$17-$H24)/7)*(param_PS_RossHDP/100)*7*param_PS_RossSettableRatio,0),0),0)</f>
        <v/>
      </c>
      <c r="V24" s="44">
        <f>IFERROR(IF(AND(V$17&gt;=$H24,V$17&lt;=$I24,$D24&gt;0),ROUND(J24*(1-param_PS_LayMortWeekly)^INT((V$17-$H24)/7)*(param_PS_RossHDP/100)*7*param_PS_RossSettableRatio,0),0),0)</f>
        <v/>
      </c>
      <c r="W24" s="44">
        <f>IFERROR(IF(AND(W$17&gt;=$H24,W$17&lt;=$I24,$D24&gt;0),ROUND(J24*(1-param_PS_LayMortWeekly)^INT((W$17-$H24)/7)*(param_PS_RossHDP/100)*7*param_PS_RossSettableRatio,0),0),0)</f>
        <v/>
      </c>
      <c r="X24" s="44">
        <f>IFERROR(IF(AND(X$17&gt;=$H24,X$17&lt;=$I24,$D24&gt;0),ROUND(J24*(1-param_PS_LayMortWeekly)^INT((X$17-$H24)/7)*(param_PS_RossHDP/100)*7*param_PS_RossSettableRatio,0),0),0)</f>
        <v/>
      </c>
      <c r="Y24" s="44">
        <f>IFERROR(IF(AND(Y$17&gt;=$H24,Y$17&lt;=$I24,$D24&gt;0),ROUND(J24*(1-param_PS_LayMortWeekly)^INT((Y$17-$H24)/7)*(param_PS_RossHDP/100)*7*param_PS_RossSettableRatio,0),0),0)</f>
        <v/>
      </c>
      <c r="Z24" s="44">
        <f>IFERROR(IF(AND(Z$17&gt;=$H24,Z$17&lt;=$I24,$D24&gt;0),ROUND(J24*(1-param_PS_LayMortWeekly)^INT((Z$17-$H24)/7)*(param_PS_RossHDP/100)*7*param_PS_RossSettableRatio,0),0),0)</f>
        <v/>
      </c>
      <c r="AA24" s="44">
        <f>IFERROR(IF(AND(AA$17&gt;=$H24,AA$17&lt;=$I24,$D24&gt;0),ROUND(J24*(1-param_PS_LayMortWeekly)^INT((AA$17-$H24)/7)*(param_PS_RossHDP/100)*7*param_PS_RossSettableRatio,0),0),0)</f>
        <v/>
      </c>
      <c r="AB24" s="44">
        <f>IFERROR(IF(AND(AB$17&gt;=$H24,AB$17&lt;=$I24,$D24&gt;0),ROUND(J24*(1-param_PS_LayMortWeekly)^INT((AB$17-$H24)/7)*(param_PS_RossHDP/100)*7*param_PS_RossSettableRatio,0),0),0)</f>
        <v/>
      </c>
      <c r="AC24" s="44">
        <f>IFERROR(IF(AND(AC$17&gt;=$H24,AC$17&lt;=$I24,$D24&gt;0),ROUND(J24*(1-param_PS_LayMortWeekly)^INT((AC$17-$H24)/7)*(param_PS_RossHDP/100)*7*param_PS_RossSettableRatio,0),0),0)</f>
        <v/>
      </c>
      <c r="AD24" s="44">
        <f>IFERROR(IF(AND(AD$17&gt;=$H24,AD$17&lt;=$I24,$D24&gt;0),ROUND(J24*(1-param_PS_LayMortWeekly)^INT((AD$17-$H24)/7)*(param_PS_RossHDP/100)*7*param_PS_RossSettableRatio,0),0),0)</f>
        <v/>
      </c>
      <c r="AE24" s="44">
        <f>IFERROR(IF(AND(AE$17&gt;=$H24,AE$17&lt;=$I24,$D24&gt;0),ROUND(J24*(1-param_PS_LayMortWeekly)^INT((AE$17-$H24)/7)*(param_PS_RossHDP/100)*7*param_PS_RossSettableRatio,0),0),0)</f>
        <v/>
      </c>
      <c r="AF24" s="44">
        <f>IFERROR(IF(AND(AF$17&gt;=$H24,AF$17&lt;=$I24,$D24&gt;0),ROUND(J24*(1-param_PS_LayMortWeekly)^INT((AF$17-$H24)/7)*(param_PS_RossHDP/100)*7*param_PS_RossSettableRatio,0),0),0)</f>
        <v/>
      </c>
      <c r="AG24" s="44">
        <f>IFERROR(IF(AND(AG$17&gt;=$H24,AG$17&lt;=$I24,$D24&gt;0),ROUND(J24*(1-param_PS_LayMortWeekly)^INT((AG$17-$H24)/7)*(param_PS_RossHDP/100)*7*param_PS_RossSettableRatio,0),0),0)</f>
        <v/>
      </c>
      <c r="AH24" s="44">
        <f>IFERROR(IF(AND(AH$17&gt;=$H24,AH$17&lt;=$I24,$D24&gt;0),ROUND(J24*(1-param_PS_LayMortWeekly)^INT((AH$17-$H24)/7)*(param_PS_RossHDP/100)*7*param_PS_RossSettableRatio,0),0),0)</f>
        <v/>
      </c>
      <c r="AI24" s="44">
        <f>IFERROR(IF(AND(AI$17&gt;=$H24,AI$17&lt;=$I24,$D24&gt;0),ROUND(J24*(1-param_PS_LayMortWeekly)^INT((AI$17-$H24)/7)*(param_PS_RossHDP/100)*7*param_PS_RossSettableRatio,0),0),0)</f>
        <v/>
      </c>
      <c r="AJ24" s="44">
        <f>IFERROR(IF(AND(AJ$17&gt;=$H24,AJ$17&lt;=$I24,$D24&gt;0),ROUND(J24*(1-param_PS_LayMortWeekly)^INT((AJ$17-$H24)/7)*(param_PS_RossHDP/100)*7*param_PS_RossSettableRatio,0),0),0)</f>
        <v/>
      </c>
      <c r="AK24" s="44">
        <f>IFERROR(IF(AND(AK$17&gt;=$H24,AK$17&lt;=$I24,$D24&gt;0),ROUND(J24*(1-param_PS_LayMortWeekly)^INT((AK$17-$H24)/7)*(param_PS_RossHDP/100)*7*param_PS_RossSettableRatio,0),0),0)</f>
        <v/>
      </c>
      <c r="AL24" s="44">
        <f>IFERROR(IF(AND(AL$17&gt;=$H24,AL$17&lt;=$I24,$D24&gt;0),ROUND(J24*(1-param_PS_LayMortWeekly)^INT((AL$17-$H24)/7)*(param_PS_RossHDP/100)*7*param_PS_RossSettableRatio,0),0),0)</f>
        <v/>
      </c>
      <c r="AM24" s="44">
        <f>IFERROR(IF(AND(AM$17&gt;=$H24,AM$17&lt;=$I24,$D24&gt;0),ROUND(J24*(1-param_PS_LayMortWeekly)^INT((AM$17-$H24)/7)*(param_PS_RossHDP/100)*7*param_PS_RossSettableRatio,0),0),0)</f>
        <v/>
      </c>
      <c r="AN24" s="44">
        <f>IFERROR(IF(AND(AN$17&gt;=$H24,AN$17&lt;=$I24,$D24&gt;0),ROUND(J24*(1-param_PS_LayMortWeekly)^INT((AN$17-$H24)/7)*(param_PS_RossHDP/100)*7*param_PS_RossSettableRatio,0),0),0)</f>
        <v/>
      </c>
      <c r="AO24" s="44">
        <f>IFERROR(IF(AND(AO$17&gt;=$H24,AO$17&lt;=$I24,$D24&gt;0),ROUND(J24*(1-param_PS_LayMortWeekly)^INT((AO$17-$H24)/7)*(param_PS_RossHDP/100)*7*param_PS_RossSettableRatio,0),0),0)</f>
        <v/>
      </c>
      <c r="AP24" s="44">
        <f>IFERROR(IF(AND(AP$17&gt;=$H24,AP$17&lt;=$I24,$D24&gt;0),ROUND(J24*(1-param_PS_LayMortWeekly)^INT((AP$17-$H24)/7)*(param_PS_RossHDP/100)*7*param_PS_RossSettableRatio,0),0),0)</f>
        <v/>
      </c>
      <c r="AQ24" s="44">
        <f>IFERROR(IF(AND(AQ$17&gt;=$H24,AQ$17&lt;=$I24,$D24&gt;0),ROUND(J24*(1-param_PS_LayMortWeekly)^INT((AQ$17-$H24)/7)*(param_PS_RossHDP/100)*7*param_PS_RossSettableRatio,0),0),0)</f>
        <v/>
      </c>
      <c r="AR24" s="44">
        <f>IFERROR(IF(AND(AR$17&gt;=$H24,AR$17&lt;=$I24,$D24&gt;0),ROUND(J24*(1-param_PS_LayMortWeekly)^INT((AR$17-$H24)/7)*(param_PS_RossHDP/100)*7*param_PS_RossSettableRatio,0),0),0)</f>
        <v/>
      </c>
      <c r="AS24" s="44">
        <f>IFERROR(IF(AND(AS$17&gt;=$H24,AS$17&lt;=$I24,$D24&gt;0),ROUND(J24*(1-param_PS_LayMortWeekly)^INT((AS$17-$H24)/7)*(param_PS_RossHDP/100)*7*param_PS_RossSettableRatio,0),0),0)</f>
        <v/>
      </c>
      <c r="AT24" s="44">
        <f>IFERROR(IF(AND(AT$17&gt;=$H24,AT$17&lt;=$I24,$D24&gt;0),ROUND(J24*(1-param_PS_LayMortWeekly)^INT((AT$17-$H24)/7)*(param_PS_RossHDP/100)*7*param_PS_RossSettableRatio,0),0),0)</f>
        <v/>
      </c>
      <c r="AU24" s="44">
        <f>IFERROR(IF(AND(AU$17&gt;=$H24,AU$17&lt;=$I24,$D24&gt;0),ROUND(J24*(1-param_PS_LayMortWeekly)^INT((AU$17-$H24)/7)*(param_PS_RossHDP/100)*7*param_PS_RossSettableRatio,0),0),0)</f>
        <v/>
      </c>
      <c r="AV24" s="44">
        <f>IFERROR(IF(AND(AV$17&gt;=$H24,AV$17&lt;=$I24,$D24&gt;0),ROUND(J24*(1-param_PS_LayMortWeekly)^INT((AV$17-$H24)/7)*(param_PS_RossHDP/100)*7*param_PS_RossSettableRatio,0),0),0)</f>
        <v/>
      </c>
      <c r="AW24" s="44">
        <f>IFERROR(IF(AND(AW$17&gt;=$H24,AW$17&lt;=$I24,$D24&gt;0),ROUND(J24*(1-param_PS_LayMortWeekly)^INT((AW$17-$H24)/7)*(param_PS_RossHDP/100)*7*param_PS_RossSettableRatio,0),0),0)</f>
        <v/>
      </c>
      <c r="AX24" s="44">
        <f>IFERROR(IF(AND(AX$17&gt;=$H24,AX$17&lt;=$I24,$D24&gt;0),ROUND(J24*(1-param_PS_LayMortWeekly)^INT((AX$17-$H24)/7)*(param_PS_RossHDP/100)*7*param_PS_RossSettableRatio,0),0),0)</f>
        <v/>
      </c>
      <c r="AY24" s="44">
        <f>IFERROR(IF(AND(AY$17&gt;=$H24,AY$17&lt;=$I24,$D24&gt;0),ROUND(J24*(1-param_PS_LayMortWeekly)^INT((AY$17-$H24)/7)*(param_PS_RossHDP/100)*7*param_PS_RossSettableRatio,0),0),0)</f>
        <v/>
      </c>
      <c r="AZ24" s="44">
        <f>IFERROR(IF(AND(AZ$17&gt;=$H24,AZ$17&lt;=$I24,$D24&gt;0),ROUND(J24*(1-param_PS_LayMortWeekly)^INT((AZ$17-$H24)/7)*(param_PS_RossHDP/100)*7*param_PS_RossSettableRatio,0),0),0)</f>
        <v/>
      </c>
      <c r="BA24" s="44">
        <f>IFERROR(IF(AND(BA$17&gt;=$H24,BA$17&lt;=$I24,$D24&gt;0),ROUND(J24*(1-param_PS_LayMortWeekly)^INT((BA$17-$H24)/7)*(param_PS_RossHDP/100)*7*param_PS_RossSettableRatio,0),0),0)</f>
        <v/>
      </c>
      <c r="BB24" s="44">
        <f>IFERROR(IF(AND(BB$17&gt;=$H24,BB$17&lt;=$I24,$D24&gt;0),ROUND(J24*(1-param_PS_LayMortWeekly)^INT((BB$17-$H24)/7)*(param_PS_RossHDP/100)*7*param_PS_RossSettableRatio,0),0),0)</f>
        <v/>
      </c>
      <c r="BC24" s="44">
        <f>IFERROR(IF(AND(BC$17&gt;=$H24,BC$17&lt;=$I24,$D24&gt;0),ROUND(J24*(1-param_PS_LayMortWeekly)^INT((BC$17-$H24)/7)*(param_PS_RossHDP/100)*7*param_PS_RossSettableRatio,0),0),0)</f>
        <v/>
      </c>
      <c r="BD24" s="44">
        <f>IFERROR(IF(AND(BD$17&gt;=$H24,BD$17&lt;=$I24,$D24&gt;0),ROUND(J24*(1-param_PS_LayMortWeekly)^INT((BD$17-$H24)/7)*(param_PS_RossHDP/100)*7*param_PS_RossSettableRatio,0),0),0)</f>
        <v/>
      </c>
      <c r="BE24" s="44">
        <f>IFERROR(IF(AND(BE$17&gt;=$H24,BE$17&lt;=$I24,$D24&gt;0),ROUND(J24*(1-param_PS_LayMortWeekly)^INT((BE$17-$H24)/7)*(param_PS_RossHDP/100)*7*param_PS_RossSettableRatio,0),0),0)</f>
        <v/>
      </c>
      <c r="BF24" s="44">
        <f>IFERROR(IF(AND(BF$17&gt;=$H24,BF$17&lt;=$I24,$D24&gt;0),ROUND(J24*(1-param_PS_LayMortWeekly)^INT((BF$17-$H24)/7)*(param_PS_RossHDP/100)*7*param_PS_RossSettableRatio,0),0),0)</f>
        <v/>
      </c>
      <c r="BG24" s="44">
        <f>IFERROR(IF(AND(BG$17&gt;=$H24,BG$17&lt;=$I24,$D24&gt;0),ROUND(J24*(1-param_PS_LayMortWeekly)^INT((BG$17-$H24)/7)*(param_PS_RossHDP/100)*7*param_PS_RossSettableRatio,0),0),0)</f>
        <v/>
      </c>
      <c r="BH24" s="44">
        <f>IFERROR(IF(AND(BH$17&gt;=$H24,BH$17&lt;=$I24,$D24&gt;0),ROUND(J24*(1-param_PS_LayMortWeekly)^INT((BH$17-$H24)/7)*(param_PS_RossHDP/100)*7*param_PS_RossSettableRatio,0),0),0)</f>
        <v/>
      </c>
      <c r="BI24" s="44">
        <f>IFERROR(IF(AND(BI$17&gt;=$H24,BI$17&lt;=$I24,$D24&gt;0),ROUND(J24*(1-param_PS_LayMortWeekly)^INT((BI$17-$H24)/7)*(param_PS_RossHDP/100)*7*param_PS_RossSettableRatio,0),0),0)</f>
        <v/>
      </c>
      <c r="BJ24" s="44">
        <f>IFERROR(IF(AND(BJ$17&gt;=$H24,BJ$17&lt;=$I24,$D24&gt;0),ROUND(J24*(1-param_PS_LayMortWeekly)^INT((BJ$17-$H24)/7)*(param_PS_RossHDP/100)*7*param_PS_RossSettableRatio,0),0),0)</f>
        <v/>
      </c>
    </row>
    <row r="25" ht="16" customHeight="1">
      <c r="A25" s="63" t="inlineStr">
        <is>
          <t>TOTAL — Ross PS Settable Eggs  → feeds Tab 5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K25" s="64">
        <f>IFERROR(K19+K20+K21+K22+K23+K24,0)</f>
        <v/>
      </c>
      <c r="L25" s="64">
        <f>IFERROR(L19+L20+L21+L22+L23+L24,0)</f>
        <v/>
      </c>
      <c r="M25" s="64">
        <f>IFERROR(M19+M20+M21+M22+M23+M24,0)</f>
        <v/>
      </c>
      <c r="N25" s="64">
        <f>IFERROR(N19+N20+N21+N22+N23+N24,0)</f>
        <v/>
      </c>
      <c r="O25" s="64">
        <f>IFERROR(O19+O20+O21+O22+O23+O24,0)</f>
        <v/>
      </c>
      <c r="P25" s="64">
        <f>IFERROR(P19+P20+P21+P22+P23+P24,0)</f>
        <v/>
      </c>
      <c r="Q25" s="64">
        <f>IFERROR(Q19+Q20+Q21+Q22+Q23+Q24,0)</f>
        <v/>
      </c>
      <c r="R25" s="64">
        <f>IFERROR(R19+R20+R21+R22+R23+R24,0)</f>
        <v/>
      </c>
      <c r="S25" s="64">
        <f>IFERROR(S19+S20+S21+S22+S23+S24,0)</f>
        <v/>
      </c>
      <c r="T25" s="64">
        <f>IFERROR(T19+T20+T21+T22+T23+T24,0)</f>
        <v/>
      </c>
      <c r="U25" s="64">
        <f>IFERROR(U19+U20+U21+U22+U23+U24,0)</f>
        <v/>
      </c>
      <c r="V25" s="64">
        <f>IFERROR(V19+V20+V21+V22+V23+V24,0)</f>
        <v/>
      </c>
      <c r="W25" s="64">
        <f>IFERROR(W19+W20+W21+W22+W23+W24,0)</f>
        <v/>
      </c>
      <c r="X25" s="64">
        <f>IFERROR(X19+X20+X21+X22+X23+X24,0)</f>
        <v/>
      </c>
      <c r="Y25" s="64">
        <f>IFERROR(Y19+Y20+Y21+Y22+Y23+Y24,0)</f>
        <v/>
      </c>
      <c r="Z25" s="64">
        <f>IFERROR(Z19+Z20+Z21+Z22+Z23+Z24,0)</f>
        <v/>
      </c>
      <c r="AA25" s="64">
        <f>IFERROR(AA19+AA20+AA21+AA22+AA23+AA24,0)</f>
        <v/>
      </c>
      <c r="AB25" s="64">
        <f>IFERROR(AB19+AB20+AB21+AB22+AB23+AB24,0)</f>
        <v/>
      </c>
      <c r="AC25" s="64">
        <f>IFERROR(AC19+AC20+AC21+AC22+AC23+AC24,0)</f>
        <v/>
      </c>
      <c r="AD25" s="64">
        <f>IFERROR(AD19+AD20+AD21+AD22+AD23+AD24,0)</f>
        <v/>
      </c>
      <c r="AE25" s="64">
        <f>IFERROR(AE19+AE20+AE21+AE22+AE23+AE24,0)</f>
        <v/>
      </c>
      <c r="AF25" s="64">
        <f>IFERROR(AF19+AF20+AF21+AF22+AF23+AF24,0)</f>
        <v/>
      </c>
      <c r="AG25" s="64">
        <f>IFERROR(AG19+AG20+AG21+AG22+AG23+AG24,0)</f>
        <v/>
      </c>
      <c r="AH25" s="64">
        <f>IFERROR(AH19+AH20+AH21+AH22+AH23+AH24,0)</f>
        <v/>
      </c>
      <c r="AI25" s="64">
        <f>IFERROR(AI19+AI20+AI21+AI22+AI23+AI24,0)</f>
        <v/>
      </c>
      <c r="AJ25" s="64">
        <f>IFERROR(AJ19+AJ20+AJ21+AJ22+AJ23+AJ24,0)</f>
        <v/>
      </c>
      <c r="AK25" s="64">
        <f>IFERROR(AK19+AK20+AK21+AK22+AK23+AK24,0)</f>
        <v/>
      </c>
      <c r="AL25" s="64">
        <f>IFERROR(AL19+AL20+AL21+AL22+AL23+AL24,0)</f>
        <v/>
      </c>
      <c r="AM25" s="64">
        <f>IFERROR(AM19+AM20+AM21+AM22+AM23+AM24,0)</f>
        <v/>
      </c>
      <c r="AN25" s="64">
        <f>IFERROR(AN19+AN20+AN21+AN22+AN23+AN24,0)</f>
        <v/>
      </c>
      <c r="AO25" s="64">
        <f>IFERROR(AO19+AO20+AO21+AO22+AO23+AO24,0)</f>
        <v/>
      </c>
      <c r="AP25" s="64">
        <f>IFERROR(AP19+AP20+AP21+AP22+AP23+AP24,0)</f>
        <v/>
      </c>
      <c r="AQ25" s="64">
        <f>IFERROR(AQ19+AQ20+AQ21+AQ22+AQ23+AQ24,0)</f>
        <v/>
      </c>
      <c r="AR25" s="64">
        <f>IFERROR(AR19+AR20+AR21+AR22+AR23+AR24,0)</f>
        <v/>
      </c>
      <c r="AS25" s="64">
        <f>IFERROR(AS19+AS20+AS21+AS22+AS23+AS24,0)</f>
        <v/>
      </c>
      <c r="AT25" s="64">
        <f>IFERROR(AT19+AT20+AT21+AT22+AT23+AT24,0)</f>
        <v/>
      </c>
      <c r="AU25" s="64">
        <f>IFERROR(AU19+AU20+AU21+AU22+AU23+AU24,0)</f>
        <v/>
      </c>
      <c r="AV25" s="64">
        <f>IFERROR(AV19+AV20+AV21+AV22+AV23+AV24,0)</f>
        <v/>
      </c>
      <c r="AW25" s="64">
        <f>IFERROR(AW19+AW20+AW21+AW22+AW23+AW24,0)</f>
        <v/>
      </c>
      <c r="AX25" s="64">
        <f>IFERROR(AX19+AX20+AX21+AX22+AX23+AX24,0)</f>
        <v/>
      </c>
      <c r="AY25" s="64">
        <f>IFERROR(AY19+AY20+AY21+AY22+AY23+AY24,0)</f>
        <v/>
      </c>
      <c r="AZ25" s="64">
        <f>IFERROR(AZ19+AZ20+AZ21+AZ22+AZ23+AZ24,0)</f>
        <v/>
      </c>
      <c r="BA25" s="64">
        <f>IFERROR(BA19+BA20+BA21+BA22+BA23+BA24,0)</f>
        <v/>
      </c>
      <c r="BB25" s="64">
        <f>IFERROR(BB19+BB20+BB21+BB22+BB23+BB24,0)</f>
        <v/>
      </c>
      <c r="BC25" s="64">
        <f>IFERROR(BC19+BC20+BC21+BC22+BC23+BC24,0)</f>
        <v/>
      </c>
      <c r="BD25" s="64">
        <f>IFERROR(BD19+BD20+BD21+BD22+BD23+BD24,0)</f>
        <v/>
      </c>
      <c r="BE25" s="64">
        <f>IFERROR(BE19+BE20+BE21+BE22+BE23+BE24,0)</f>
        <v/>
      </c>
      <c r="BF25" s="64">
        <f>IFERROR(BF19+BF20+BF21+BF22+BF23+BF24,0)</f>
        <v/>
      </c>
      <c r="BG25" s="64">
        <f>IFERROR(BG19+BG20+BG21+BG22+BG23+BG24,0)</f>
        <v/>
      </c>
      <c r="BH25" s="64">
        <f>IFERROR(BH19+BH20+BH21+BH22+BH23+BH24,0)</f>
        <v/>
      </c>
      <c r="BI25" s="64">
        <f>IFERROR(BI19+BI20+BI21+BI22+BI23+BI24,0)</f>
        <v/>
      </c>
      <c r="BJ25" s="64">
        <f>IFERROR(BJ19+BJ20+BJ21+BJ22+BJ23+BJ24,0)</f>
        <v/>
      </c>
    </row>
    <row r="26" ht="5" customHeight="1">
      <c r="A26" s="20" t="n"/>
    </row>
    <row r="27" ht="18" customHeight="1">
      <c r="A27" s="21" t="inlineStr">
        <is>
          <t xml:space="preserve">  COMBINED PLANT CAPACITY TRACKER  |  Plant 1230 (Rearing) + Plant 1220 (Laying)  — RED = Capacity Exceeded</t>
        </is>
      </c>
    </row>
    <row r="28" ht="16" customHeight="1">
      <c r="A28" s="22" t="inlineStr">
        <is>
          <t>Section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 ht="16" customHeight="1">
      <c r="A29" s="65" t="inlineStr">
        <is>
          <t>Cobb PS — Plant 1230 Rearing (head count)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  <c r="K29" s="41">
        <f>IFERROR(IFERROR(IF(AND(K$5&gt;=$C7,K$5&lt;$G7,$D7&gt;0),$D7,0),0)+IFERROR(IF(AND(K$5&gt;=$C8,K$5&lt;$G8,$D8&gt;0),$D8,0),0)+IFERROR(IF(AND(K$5&gt;=$C9,K$5&lt;$G9,$D9&gt;0),$D9,0),0)+IFERROR(IF(AND(K$5&gt;=$C10,K$5&lt;$G10,$D10&gt;0),$D10,0),0)+IFERROR(IF(AND(K$5&gt;=$C11,K$5&lt;$G11,$D11&gt;0),$D11,0),0)+IFERROR(IF(AND(K$5&gt;=$C12,K$5&lt;$G12,$D12&gt;0),$D12,0),0),0)</f>
        <v/>
      </c>
      <c r="L29" s="41">
        <f>IFERROR(IFERROR(IF(AND(L$5&gt;=$C7,L$5&lt;$G7,$D7&gt;0),$D7,0),0)+IFERROR(IF(AND(L$5&gt;=$C8,L$5&lt;$G8,$D8&gt;0),$D8,0),0)+IFERROR(IF(AND(L$5&gt;=$C9,L$5&lt;$G9,$D9&gt;0),$D9,0),0)+IFERROR(IF(AND(L$5&gt;=$C10,L$5&lt;$G10,$D10&gt;0),$D10,0),0)+IFERROR(IF(AND(L$5&gt;=$C11,L$5&lt;$G11,$D11&gt;0),$D11,0),0)+IFERROR(IF(AND(L$5&gt;=$C12,L$5&lt;$G12,$D12&gt;0),$D12,0),0),0)</f>
        <v/>
      </c>
      <c r="M29" s="41">
        <f>IFERROR(IFERROR(IF(AND(M$5&gt;=$C7,M$5&lt;$G7,$D7&gt;0),$D7,0),0)+IFERROR(IF(AND(M$5&gt;=$C8,M$5&lt;$G8,$D8&gt;0),$D8,0),0)+IFERROR(IF(AND(M$5&gt;=$C9,M$5&lt;$G9,$D9&gt;0),$D9,0),0)+IFERROR(IF(AND(M$5&gt;=$C10,M$5&lt;$G10,$D10&gt;0),$D10,0),0)+IFERROR(IF(AND(M$5&gt;=$C11,M$5&lt;$G11,$D11&gt;0),$D11,0),0)+IFERROR(IF(AND(M$5&gt;=$C12,M$5&lt;$G12,$D12&gt;0),$D12,0),0),0)</f>
        <v/>
      </c>
      <c r="N29" s="41">
        <f>IFERROR(IFERROR(IF(AND(N$5&gt;=$C7,N$5&lt;$G7,$D7&gt;0),$D7,0),0)+IFERROR(IF(AND(N$5&gt;=$C8,N$5&lt;$G8,$D8&gt;0),$D8,0),0)+IFERROR(IF(AND(N$5&gt;=$C9,N$5&lt;$G9,$D9&gt;0),$D9,0),0)+IFERROR(IF(AND(N$5&gt;=$C10,N$5&lt;$G10,$D10&gt;0),$D10,0),0)+IFERROR(IF(AND(N$5&gt;=$C11,N$5&lt;$G11,$D11&gt;0),$D11,0),0)+IFERROR(IF(AND(N$5&gt;=$C12,N$5&lt;$G12,$D12&gt;0),$D12,0),0),0)</f>
        <v/>
      </c>
      <c r="O29" s="41">
        <f>IFERROR(IFERROR(IF(AND(O$5&gt;=$C7,O$5&lt;$G7,$D7&gt;0),$D7,0),0)+IFERROR(IF(AND(O$5&gt;=$C8,O$5&lt;$G8,$D8&gt;0),$D8,0),0)+IFERROR(IF(AND(O$5&gt;=$C9,O$5&lt;$G9,$D9&gt;0),$D9,0),0)+IFERROR(IF(AND(O$5&gt;=$C10,O$5&lt;$G10,$D10&gt;0),$D10,0),0)+IFERROR(IF(AND(O$5&gt;=$C11,O$5&lt;$G11,$D11&gt;0),$D11,0),0)+IFERROR(IF(AND(O$5&gt;=$C12,O$5&lt;$G12,$D12&gt;0),$D12,0),0),0)</f>
        <v/>
      </c>
      <c r="P29" s="41">
        <f>IFERROR(IFERROR(IF(AND(P$5&gt;=$C7,P$5&lt;$G7,$D7&gt;0),$D7,0),0)+IFERROR(IF(AND(P$5&gt;=$C8,P$5&lt;$G8,$D8&gt;0),$D8,0),0)+IFERROR(IF(AND(P$5&gt;=$C9,P$5&lt;$G9,$D9&gt;0),$D9,0),0)+IFERROR(IF(AND(P$5&gt;=$C10,P$5&lt;$G10,$D10&gt;0),$D10,0),0)+IFERROR(IF(AND(P$5&gt;=$C11,P$5&lt;$G11,$D11&gt;0),$D11,0),0)+IFERROR(IF(AND(P$5&gt;=$C12,P$5&lt;$G12,$D12&gt;0),$D12,0),0),0)</f>
        <v/>
      </c>
      <c r="Q29" s="41">
        <f>IFERROR(IFERROR(IF(AND(Q$5&gt;=$C7,Q$5&lt;$G7,$D7&gt;0),$D7,0),0)+IFERROR(IF(AND(Q$5&gt;=$C8,Q$5&lt;$G8,$D8&gt;0),$D8,0),0)+IFERROR(IF(AND(Q$5&gt;=$C9,Q$5&lt;$G9,$D9&gt;0),$D9,0),0)+IFERROR(IF(AND(Q$5&gt;=$C10,Q$5&lt;$G10,$D10&gt;0),$D10,0),0)+IFERROR(IF(AND(Q$5&gt;=$C11,Q$5&lt;$G11,$D11&gt;0),$D11,0),0)+IFERROR(IF(AND(Q$5&gt;=$C12,Q$5&lt;$G12,$D12&gt;0),$D12,0),0),0)</f>
        <v/>
      </c>
      <c r="R29" s="41">
        <f>IFERROR(IFERROR(IF(AND(R$5&gt;=$C7,R$5&lt;$G7,$D7&gt;0),$D7,0),0)+IFERROR(IF(AND(R$5&gt;=$C8,R$5&lt;$G8,$D8&gt;0),$D8,0),0)+IFERROR(IF(AND(R$5&gt;=$C9,R$5&lt;$G9,$D9&gt;0),$D9,0),0)+IFERROR(IF(AND(R$5&gt;=$C10,R$5&lt;$G10,$D10&gt;0),$D10,0),0)+IFERROR(IF(AND(R$5&gt;=$C11,R$5&lt;$G11,$D11&gt;0),$D11,0),0)+IFERROR(IF(AND(R$5&gt;=$C12,R$5&lt;$G12,$D12&gt;0),$D12,0),0),0)</f>
        <v/>
      </c>
      <c r="S29" s="41">
        <f>IFERROR(IFERROR(IF(AND(S$5&gt;=$C7,S$5&lt;$G7,$D7&gt;0),$D7,0),0)+IFERROR(IF(AND(S$5&gt;=$C8,S$5&lt;$G8,$D8&gt;0),$D8,0),0)+IFERROR(IF(AND(S$5&gt;=$C9,S$5&lt;$G9,$D9&gt;0),$D9,0),0)+IFERROR(IF(AND(S$5&gt;=$C10,S$5&lt;$G10,$D10&gt;0),$D10,0),0)+IFERROR(IF(AND(S$5&gt;=$C11,S$5&lt;$G11,$D11&gt;0),$D11,0),0)+IFERROR(IF(AND(S$5&gt;=$C12,S$5&lt;$G12,$D12&gt;0),$D12,0),0),0)</f>
        <v/>
      </c>
      <c r="T29" s="41">
        <f>IFERROR(IFERROR(IF(AND(T$5&gt;=$C7,T$5&lt;$G7,$D7&gt;0),$D7,0),0)+IFERROR(IF(AND(T$5&gt;=$C8,T$5&lt;$G8,$D8&gt;0),$D8,0),0)+IFERROR(IF(AND(T$5&gt;=$C9,T$5&lt;$G9,$D9&gt;0),$D9,0),0)+IFERROR(IF(AND(T$5&gt;=$C10,T$5&lt;$G10,$D10&gt;0),$D10,0),0)+IFERROR(IF(AND(T$5&gt;=$C11,T$5&lt;$G11,$D11&gt;0),$D11,0),0)+IFERROR(IF(AND(T$5&gt;=$C12,T$5&lt;$G12,$D12&gt;0),$D12,0),0),0)</f>
        <v/>
      </c>
      <c r="U29" s="41">
        <f>IFERROR(IFERROR(IF(AND(U$5&gt;=$C7,U$5&lt;$G7,$D7&gt;0),$D7,0),0)+IFERROR(IF(AND(U$5&gt;=$C8,U$5&lt;$G8,$D8&gt;0),$D8,0),0)+IFERROR(IF(AND(U$5&gt;=$C9,U$5&lt;$G9,$D9&gt;0),$D9,0),0)+IFERROR(IF(AND(U$5&gt;=$C10,U$5&lt;$G10,$D10&gt;0),$D10,0),0)+IFERROR(IF(AND(U$5&gt;=$C11,U$5&lt;$G11,$D11&gt;0),$D11,0),0)+IFERROR(IF(AND(U$5&gt;=$C12,U$5&lt;$G12,$D12&gt;0),$D12,0),0),0)</f>
        <v/>
      </c>
      <c r="V29" s="41">
        <f>IFERROR(IFERROR(IF(AND(V$5&gt;=$C7,V$5&lt;$G7,$D7&gt;0),$D7,0),0)+IFERROR(IF(AND(V$5&gt;=$C8,V$5&lt;$G8,$D8&gt;0),$D8,0),0)+IFERROR(IF(AND(V$5&gt;=$C9,V$5&lt;$G9,$D9&gt;0),$D9,0),0)+IFERROR(IF(AND(V$5&gt;=$C10,V$5&lt;$G10,$D10&gt;0),$D10,0),0)+IFERROR(IF(AND(V$5&gt;=$C11,V$5&lt;$G11,$D11&gt;0),$D11,0),0)+IFERROR(IF(AND(V$5&gt;=$C12,V$5&lt;$G12,$D12&gt;0),$D12,0),0),0)</f>
        <v/>
      </c>
      <c r="W29" s="41">
        <f>IFERROR(IFERROR(IF(AND(W$5&gt;=$C7,W$5&lt;$G7,$D7&gt;0),$D7,0),0)+IFERROR(IF(AND(W$5&gt;=$C8,W$5&lt;$G8,$D8&gt;0),$D8,0),0)+IFERROR(IF(AND(W$5&gt;=$C9,W$5&lt;$G9,$D9&gt;0),$D9,0),0)+IFERROR(IF(AND(W$5&gt;=$C10,W$5&lt;$G10,$D10&gt;0),$D10,0),0)+IFERROR(IF(AND(W$5&gt;=$C11,W$5&lt;$G11,$D11&gt;0),$D11,0),0)+IFERROR(IF(AND(W$5&gt;=$C12,W$5&lt;$G12,$D12&gt;0),$D12,0),0),0)</f>
        <v/>
      </c>
      <c r="X29" s="41">
        <f>IFERROR(IFERROR(IF(AND(X$5&gt;=$C7,X$5&lt;$G7,$D7&gt;0),$D7,0),0)+IFERROR(IF(AND(X$5&gt;=$C8,X$5&lt;$G8,$D8&gt;0),$D8,0),0)+IFERROR(IF(AND(X$5&gt;=$C9,X$5&lt;$G9,$D9&gt;0),$D9,0),0)+IFERROR(IF(AND(X$5&gt;=$C10,X$5&lt;$G10,$D10&gt;0),$D10,0),0)+IFERROR(IF(AND(X$5&gt;=$C11,X$5&lt;$G11,$D11&gt;0),$D11,0),0)+IFERROR(IF(AND(X$5&gt;=$C12,X$5&lt;$G12,$D12&gt;0),$D12,0),0),0)</f>
        <v/>
      </c>
      <c r="Y29" s="41">
        <f>IFERROR(IFERROR(IF(AND(Y$5&gt;=$C7,Y$5&lt;$G7,$D7&gt;0),$D7,0),0)+IFERROR(IF(AND(Y$5&gt;=$C8,Y$5&lt;$G8,$D8&gt;0),$D8,0),0)+IFERROR(IF(AND(Y$5&gt;=$C9,Y$5&lt;$G9,$D9&gt;0),$D9,0),0)+IFERROR(IF(AND(Y$5&gt;=$C10,Y$5&lt;$G10,$D10&gt;0),$D10,0),0)+IFERROR(IF(AND(Y$5&gt;=$C11,Y$5&lt;$G11,$D11&gt;0),$D11,0),0)+IFERROR(IF(AND(Y$5&gt;=$C12,Y$5&lt;$G12,$D12&gt;0),$D12,0),0),0)</f>
        <v/>
      </c>
      <c r="Z29" s="41">
        <f>IFERROR(IFERROR(IF(AND(Z$5&gt;=$C7,Z$5&lt;$G7,$D7&gt;0),$D7,0),0)+IFERROR(IF(AND(Z$5&gt;=$C8,Z$5&lt;$G8,$D8&gt;0),$D8,0),0)+IFERROR(IF(AND(Z$5&gt;=$C9,Z$5&lt;$G9,$D9&gt;0),$D9,0),0)+IFERROR(IF(AND(Z$5&gt;=$C10,Z$5&lt;$G10,$D10&gt;0),$D10,0),0)+IFERROR(IF(AND(Z$5&gt;=$C11,Z$5&lt;$G11,$D11&gt;0),$D11,0),0)+IFERROR(IF(AND(Z$5&gt;=$C12,Z$5&lt;$G12,$D12&gt;0),$D12,0),0),0)</f>
        <v/>
      </c>
      <c r="AA29" s="41">
        <f>IFERROR(IFERROR(IF(AND(AA$5&gt;=$C7,AA$5&lt;$G7,$D7&gt;0),$D7,0),0)+IFERROR(IF(AND(AA$5&gt;=$C8,AA$5&lt;$G8,$D8&gt;0),$D8,0),0)+IFERROR(IF(AND(AA$5&gt;=$C9,AA$5&lt;$G9,$D9&gt;0),$D9,0),0)+IFERROR(IF(AND(AA$5&gt;=$C10,AA$5&lt;$G10,$D10&gt;0),$D10,0),0)+IFERROR(IF(AND(AA$5&gt;=$C11,AA$5&lt;$G11,$D11&gt;0),$D11,0),0)+IFERROR(IF(AND(AA$5&gt;=$C12,AA$5&lt;$G12,$D12&gt;0),$D12,0),0),0)</f>
        <v/>
      </c>
      <c r="AB29" s="41">
        <f>IFERROR(IFERROR(IF(AND(AB$5&gt;=$C7,AB$5&lt;$G7,$D7&gt;0),$D7,0),0)+IFERROR(IF(AND(AB$5&gt;=$C8,AB$5&lt;$G8,$D8&gt;0),$D8,0),0)+IFERROR(IF(AND(AB$5&gt;=$C9,AB$5&lt;$G9,$D9&gt;0),$D9,0),0)+IFERROR(IF(AND(AB$5&gt;=$C10,AB$5&lt;$G10,$D10&gt;0),$D10,0),0)+IFERROR(IF(AND(AB$5&gt;=$C11,AB$5&lt;$G11,$D11&gt;0),$D11,0),0)+IFERROR(IF(AND(AB$5&gt;=$C12,AB$5&lt;$G12,$D12&gt;0),$D12,0),0),0)</f>
        <v/>
      </c>
      <c r="AC29" s="41">
        <f>IFERROR(IFERROR(IF(AND(AC$5&gt;=$C7,AC$5&lt;$G7,$D7&gt;0),$D7,0),0)+IFERROR(IF(AND(AC$5&gt;=$C8,AC$5&lt;$G8,$D8&gt;0),$D8,0),0)+IFERROR(IF(AND(AC$5&gt;=$C9,AC$5&lt;$G9,$D9&gt;0),$D9,0),0)+IFERROR(IF(AND(AC$5&gt;=$C10,AC$5&lt;$G10,$D10&gt;0),$D10,0),0)+IFERROR(IF(AND(AC$5&gt;=$C11,AC$5&lt;$G11,$D11&gt;0),$D11,0),0)+IFERROR(IF(AND(AC$5&gt;=$C12,AC$5&lt;$G12,$D12&gt;0),$D12,0),0),0)</f>
        <v/>
      </c>
      <c r="AD29" s="41">
        <f>IFERROR(IFERROR(IF(AND(AD$5&gt;=$C7,AD$5&lt;$G7,$D7&gt;0),$D7,0),0)+IFERROR(IF(AND(AD$5&gt;=$C8,AD$5&lt;$G8,$D8&gt;0),$D8,0),0)+IFERROR(IF(AND(AD$5&gt;=$C9,AD$5&lt;$G9,$D9&gt;0),$D9,0),0)+IFERROR(IF(AND(AD$5&gt;=$C10,AD$5&lt;$G10,$D10&gt;0),$D10,0),0)+IFERROR(IF(AND(AD$5&gt;=$C11,AD$5&lt;$G11,$D11&gt;0),$D11,0),0)+IFERROR(IF(AND(AD$5&gt;=$C12,AD$5&lt;$G12,$D12&gt;0),$D12,0),0),0)</f>
        <v/>
      </c>
      <c r="AE29" s="41">
        <f>IFERROR(IFERROR(IF(AND(AE$5&gt;=$C7,AE$5&lt;$G7,$D7&gt;0),$D7,0),0)+IFERROR(IF(AND(AE$5&gt;=$C8,AE$5&lt;$G8,$D8&gt;0),$D8,0),0)+IFERROR(IF(AND(AE$5&gt;=$C9,AE$5&lt;$G9,$D9&gt;0),$D9,0),0)+IFERROR(IF(AND(AE$5&gt;=$C10,AE$5&lt;$G10,$D10&gt;0),$D10,0),0)+IFERROR(IF(AND(AE$5&gt;=$C11,AE$5&lt;$G11,$D11&gt;0),$D11,0),0)+IFERROR(IF(AND(AE$5&gt;=$C12,AE$5&lt;$G12,$D12&gt;0),$D12,0),0),0)</f>
        <v/>
      </c>
      <c r="AF29" s="41">
        <f>IFERROR(IFERROR(IF(AND(AF$5&gt;=$C7,AF$5&lt;$G7,$D7&gt;0),$D7,0),0)+IFERROR(IF(AND(AF$5&gt;=$C8,AF$5&lt;$G8,$D8&gt;0),$D8,0),0)+IFERROR(IF(AND(AF$5&gt;=$C9,AF$5&lt;$G9,$D9&gt;0),$D9,0),0)+IFERROR(IF(AND(AF$5&gt;=$C10,AF$5&lt;$G10,$D10&gt;0),$D10,0),0)+IFERROR(IF(AND(AF$5&gt;=$C11,AF$5&lt;$G11,$D11&gt;0),$D11,0),0)+IFERROR(IF(AND(AF$5&gt;=$C12,AF$5&lt;$G12,$D12&gt;0),$D12,0),0),0)</f>
        <v/>
      </c>
      <c r="AG29" s="41">
        <f>IFERROR(IFERROR(IF(AND(AG$5&gt;=$C7,AG$5&lt;$G7,$D7&gt;0),$D7,0),0)+IFERROR(IF(AND(AG$5&gt;=$C8,AG$5&lt;$G8,$D8&gt;0),$D8,0),0)+IFERROR(IF(AND(AG$5&gt;=$C9,AG$5&lt;$G9,$D9&gt;0),$D9,0),0)+IFERROR(IF(AND(AG$5&gt;=$C10,AG$5&lt;$G10,$D10&gt;0),$D10,0),0)+IFERROR(IF(AND(AG$5&gt;=$C11,AG$5&lt;$G11,$D11&gt;0),$D11,0),0)+IFERROR(IF(AND(AG$5&gt;=$C12,AG$5&lt;$G12,$D12&gt;0),$D12,0),0),0)</f>
        <v/>
      </c>
      <c r="AH29" s="41">
        <f>IFERROR(IFERROR(IF(AND(AH$5&gt;=$C7,AH$5&lt;$G7,$D7&gt;0),$D7,0),0)+IFERROR(IF(AND(AH$5&gt;=$C8,AH$5&lt;$G8,$D8&gt;0),$D8,0),0)+IFERROR(IF(AND(AH$5&gt;=$C9,AH$5&lt;$G9,$D9&gt;0),$D9,0),0)+IFERROR(IF(AND(AH$5&gt;=$C10,AH$5&lt;$G10,$D10&gt;0),$D10,0),0)+IFERROR(IF(AND(AH$5&gt;=$C11,AH$5&lt;$G11,$D11&gt;0),$D11,0),0)+IFERROR(IF(AND(AH$5&gt;=$C12,AH$5&lt;$G12,$D12&gt;0),$D12,0),0),0)</f>
        <v/>
      </c>
      <c r="AI29" s="41">
        <f>IFERROR(IFERROR(IF(AND(AI$5&gt;=$C7,AI$5&lt;$G7,$D7&gt;0),$D7,0),0)+IFERROR(IF(AND(AI$5&gt;=$C8,AI$5&lt;$G8,$D8&gt;0),$D8,0),0)+IFERROR(IF(AND(AI$5&gt;=$C9,AI$5&lt;$G9,$D9&gt;0),$D9,0),0)+IFERROR(IF(AND(AI$5&gt;=$C10,AI$5&lt;$G10,$D10&gt;0),$D10,0),0)+IFERROR(IF(AND(AI$5&gt;=$C11,AI$5&lt;$G11,$D11&gt;0),$D11,0),0)+IFERROR(IF(AND(AI$5&gt;=$C12,AI$5&lt;$G12,$D12&gt;0),$D12,0),0),0)</f>
        <v/>
      </c>
      <c r="AJ29" s="41">
        <f>IFERROR(IFERROR(IF(AND(AJ$5&gt;=$C7,AJ$5&lt;$G7,$D7&gt;0),$D7,0),0)+IFERROR(IF(AND(AJ$5&gt;=$C8,AJ$5&lt;$G8,$D8&gt;0),$D8,0),0)+IFERROR(IF(AND(AJ$5&gt;=$C9,AJ$5&lt;$G9,$D9&gt;0),$D9,0),0)+IFERROR(IF(AND(AJ$5&gt;=$C10,AJ$5&lt;$G10,$D10&gt;0),$D10,0),0)+IFERROR(IF(AND(AJ$5&gt;=$C11,AJ$5&lt;$G11,$D11&gt;0),$D11,0),0)+IFERROR(IF(AND(AJ$5&gt;=$C12,AJ$5&lt;$G12,$D12&gt;0),$D12,0),0),0)</f>
        <v/>
      </c>
      <c r="AK29" s="41">
        <f>IFERROR(IFERROR(IF(AND(AK$5&gt;=$C7,AK$5&lt;$G7,$D7&gt;0),$D7,0),0)+IFERROR(IF(AND(AK$5&gt;=$C8,AK$5&lt;$G8,$D8&gt;0),$D8,0),0)+IFERROR(IF(AND(AK$5&gt;=$C9,AK$5&lt;$G9,$D9&gt;0),$D9,0),0)+IFERROR(IF(AND(AK$5&gt;=$C10,AK$5&lt;$G10,$D10&gt;0),$D10,0),0)+IFERROR(IF(AND(AK$5&gt;=$C11,AK$5&lt;$G11,$D11&gt;0),$D11,0),0)+IFERROR(IF(AND(AK$5&gt;=$C12,AK$5&lt;$G12,$D12&gt;0),$D12,0),0),0)</f>
        <v/>
      </c>
      <c r="AL29" s="41">
        <f>IFERROR(IFERROR(IF(AND(AL$5&gt;=$C7,AL$5&lt;$G7,$D7&gt;0),$D7,0),0)+IFERROR(IF(AND(AL$5&gt;=$C8,AL$5&lt;$G8,$D8&gt;0),$D8,0),0)+IFERROR(IF(AND(AL$5&gt;=$C9,AL$5&lt;$G9,$D9&gt;0),$D9,0),0)+IFERROR(IF(AND(AL$5&gt;=$C10,AL$5&lt;$G10,$D10&gt;0),$D10,0),0)+IFERROR(IF(AND(AL$5&gt;=$C11,AL$5&lt;$G11,$D11&gt;0),$D11,0),0)+IFERROR(IF(AND(AL$5&gt;=$C12,AL$5&lt;$G12,$D12&gt;0),$D12,0),0),0)</f>
        <v/>
      </c>
      <c r="AM29" s="41">
        <f>IFERROR(IFERROR(IF(AND(AM$5&gt;=$C7,AM$5&lt;$G7,$D7&gt;0),$D7,0),0)+IFERROR(IF(AND(AM$5&gt;=$C8,AM$5&lt;$G8,$D8&gt;0),$D8,0),0)+IFERROR(IF(AND(AM$5&gt;=$C9,AM$5&lt;$G9,$D9&gt;0),$D9,0),0)+IFERROR(IF(AND(AM$5&gt;=$C10,AM$5&lt;$G10,$D10&gt;0),$D10,0),0)+IFERROR(IF(AND(AM$5&gt;=$C11,AM$5&lt;$G11,$D11&gt;0),$D11,0),0)+IFERROR(IF(AND(AM$5&gt;=$C12,AM$5&lt;$G12,$D12&gt;0),$D12,0),0),0)</f>
        <v/>
      </c>
      <c r="AN29" s="41">
        <f>IFERROR(IFERROR(IF(AND(AN$5&gt;=$C7,AN$5&lt;$G7,$D7&gt;0),$D7,0),0)+IFERROR(IF(AND(AN$5&gt;=$C8,AN$5&lt;$G8,$D8&gt;0),$D8,0),0)+IFERROR(IF(AND(AN$5&gt;=$C9,AN$5&lt;$G9,$D9&gt;0),$D9,0),0)+IFERROR(IF(AND(AN$5&gt;=$C10,AN$5&lt;$G10,$D10&gt;0),$D10,0),0)+IFERROR(IF(AND(AN$5&gt;=$C11,AN$5&lt;$G11,$D11&gt;0),$D11,0),0)+IFERROR(IF(AND(AN$5&gt;=$C12,AN$5&lt;$G12,$D12&gt;0),$D12,0),0),0)</f>
        <v/>
      </c>
      <c r="AO29" s="41">
        <f>IFERROR(IFERROR(IF(AND(AO$5&gt;=$C7,AO$5&lt;$G7,$D7&gt;0),$D7,0),0)+IFERROR(IF(AND(AO$5&gt;=$C8,AO$5&lt;$G8,$D8&gt;0),$D8,0),0)+IFERROR(IF(AND(AO$5&gt;=$C9,AO$5&lt;$G9,$D9&gt;0),$D9,0),0)+IFERROR(IF(AND(AO$5&gt;=$C10,AO$5&lt;$G10,$D10&gt;0),$D10,0),0)+IFERROR(IF(AND(AO$5&gt;=$C11,AO$5&lt;$G11,$D11&gt;0),$D11,0),0)+IFERROR(IF(AND(AO$5&gt;=$C12,AO$5&lt;$G12,$D12&gt;0),$D12,0),0),0)</f>
        <v/>
      </c>
      <c r="AP29" s="41">
        <f>IFERROR(IFERROR(IF(AND(AP$5&gt;=$C7,AP$5&lt;$G7,$D7&gt;0),$D7,0),0)+IFERROR(IF(AND(AP$5&gt;=$C8,AP$5&lt;$G8,$D8&gt;0),$D8,0),0)+IFERROR(IF(AND(AP$5&gt;=$C9,AP$5&lt;$G9,$D9&gt;0),$D9,0),0)+IFERROR(IF(AND(AP$5&gt;=$C10,AP$5&lt;$G10,$D10&gt;0),$D10,0),0)+IFERROR(IF(AND(AP$5&gt;=$C11,AP$5&lt;$G11,$D11&gt;0),$D11,0),0)+IFERROR(IF(AND(AP$5&gt;=$C12,AP$5&lt;$G12,$D12&gt;0),$D12,0),0),0)</f>
        <v/>
      </c>
      <c r="AQ29" s="41">
        <f>IFERROR(IFERROR(IF(AND(AQ$5&gt;=$C7,AQ$5&lt;$G7,$D7&gt;0),$D7,0),0)+IFERROR(IF(AND(AQ$5&gt;=$C8,AQ$5&lt;$G8,$D8&gt;0),$D8,0),0)+IFERROR(IF(AND(AQ$5&gt;=$C9,AQ$5&lt;$G9,$D9&gt;0),$D9,0),0)+IFERROR(IF(AND(AQ$5&gt;=$C10,AQ$5&lt;$G10,$D10&gt;0),$D10,0),0)+IFERROR(IF(AND(AQ$5&gt;=$C11,AQ$5&lt;$G11,$D11&gt;0),$D11,0),0)+IFERROR(IF(AND(AQ$5&gt;=$C12,AQ$5&lt;$G12,$D12&gt;0),$D12,0),0),0)</f>
        <v/>
      </c>
      <c r="AR29" s="41">
        <f>IFERROR(IFERROR(IF(AND(AR$5&gt;=$C7,AR$5&lt;$G7,$D7&gt;0),$D7,0),0)+IFERROR(IF(AND(AR$5&gt;=$C8,AR$5&lt;$G8,$D8&gt;0),$D8,0),0)+IFERROR(IF(AND(AR$5&gt;=$C9,AR$5&lt;$G9,$D9&gt;0),$D9,0),0)+IFERROR(IF(AND(AR$5&gt;=$C10,AR$5&lt;$G10,$D10&gt;0),$D10,0),0)+IFERROR(IF(AND(AR$5&gt;=$C11,AR$5&lt;$G11,$D11&gt;0),$D11,0),0)+IFERROR(IF(AND(AR$5&gt;=$C12,AR$5&lt;$G12,$D12&gt;0),$D12,0),0),0)</f>
        <v/>
      </c>
      <c r="AS29" s="41">
        <f>IFERROR(IFERROR(IF(AND(AS$5&gt;=$C7,AS$5&lt;$G7,$D7&gt;0),$D7,0),0)+IFERROR(IF(AND(AS$5&gt;=$C8,AS$5&lt;$G8,$D8&gt;0),$D8,0),0)+IFERROR(IF(AND(AS$5&gt;=$C9,AS$5&lt;$G9,$D9&gt;0),$D9,0),0)+IFERROR(IF(AND(AS$5&gt;=$C10,AS$5&lt;$G10,$D10&gt;0),$D10,0),0)+IFERROR(IF(AND(AS$5&gt;=$C11,AS$5&lt;$G11,$D11&gt;0),$D11,0),0)+IFERROR(IF(AND(AS$5&gt;=$C12,AS$5&lt;$G12,$D12&gt;0),$D12,0),0),0)</f>
        <v/>
      </c>
      <c r="AT29" s="41">
        <f>IFERROR(IFERROR(IF(AND(AT$5&gt;=$C7,AT$5&lt;$G7,$D7&gt;0),$D7,0),0)+IFERROR(IF(AND(AT$5&gt;=$C8,AT$5&lt;$G8,$D8&gt;0),$D8,0),0)+IFERROR(IF(AND(AT$5&gt;=$C9,AT$5&lt;$G9,$D9&gt;0),$D9,0),0)+IFERROR(IF(AND(AT$5&gt;=$C10,AT$5&lt;$G10,$D10&gt;0),$D10,0),0)+IFERROR(IF(AND(AT$5&gt;=$C11,AT$5&lt;$G11,$D11&gt;0),$D11,0),0)+IFERROR(IF(AND(AT$5&gt;=$C12,AT$5&lt;$G12,$D12&gt;0),$D12,0),0),0)</f>
        <v/>
      </c>
      <c r="AU29" s="41">
        <f>IFERROR(IFERROR(IF(AND(AU$5&gt;=$C7,AU$5&lt;$G7,$D7&gt;0),$D7,0),0)+IFERROR(IF(AND(AU$5&gt;=$C8,AU$5&lt;$G8,$D8&gt;0),$D8,0),0)+IFERROR(IF(AND(AU$5&gt;=$C9,AU$5&lt;$G9,$D9&gt;0),$D9,0),0)+IFERROR(IF(AND(AU$5&gt;=$C10,AU$5&lt;$G10,$D10&gt;0),$D10,0),0)+IFERROR(IF(AND(AU$5&gt;=$C11,AU$5&lt;$G11,$D11&gt;0),$D11,0),0)+IFERROR(IF(AND(AU$5&gt;=$C12,AU$5&lt;$G12,$D12&gt;0),$D12,0),0),0)</f>
        <v/>
      </c>
      <c r="AV29" s="41">
        <f>IFERROR(IFERROR(IF(AND(AV$5&gt;=$C7,AV$5&lt;$G7,$D7&gt;0),$D7,0),0)+IFERROR(IF(AND(AV$5&gt;=$C8,AV$5&lt;$G8,$D8&gt;0),$D8,0),0)+IFERROR(IF(AND(AV$5&gt;=$C9,AV$5&lt;$G9,$D9&gt;0),$D9,0),0)+IFERROR(IF(AND(AV$5&gt;=$C10,AV$5&lt;$G10,$D10&gt;0),$D10,0),0)+IFERROR(IF(AND(AV$5&gt;=$C11,AV$5&lt;$G11,$D11&gt;0),$D11,0),0)+IFERROR(IF(AND(AV$5&gt;=$C12,AV$5&lt;$G12,$D12&gt;0),$D12,0),0),0)</f>
        <v/>
      </c>
      <c r="AW29" s="41">
        <f>IFERROR(IFERROR(IF(AND(AW$5&gt;=$C7,AW$5&lt;$G7,$D7&gt;0),$D7,0),0)+IFERROR(IF(AND(AW$5&gt;=$C8,AW$5&lt;$G8,$D8&gt;0),$D8,0),0)+IFERROR(IF(AND(AW$5&gt;=$C9,AW$5&lt;$G9,$D9&gt;0),$D9,0),0)+IFERROR(IF(AND(AW$5&gt;=$C10,AW$5&lt;$G10,$D10&gt;0),$D10,0),0)+IFERROR(IF(AND(AW$5&gt;=$C11,AW$5&lt;$G11,$D11&gt;0),$D11,0),0)+IFERROR(IF(AND(AW$5&gt;=$C12,AW$5&lt;$G12,$D12&gt;0),$D12,0),0),0)</f>
        <v/>
      </c>
      <c r="AX29" s="41">
        <f>IFERROR(IFERROR(IF(AND(AX$5&gt;=$C7,AX$5&lt;$G7,$D7&gt;0),$D7,0),0)+IFERROR(IF(AND(AX$5&gt;=$C8,AX$5&lt;$G8,$D8&gt;0),$D8,0),0)+IFERROR(IF(AND(AX$5&gt;=$C9,AX$5&lt;$G9,$D9&gt;0),$D9,0),0)+IFERROR(IF(AND(AX$5&gt;=$C10,AX$5&lt;$G10,$D10&gt;0),$D10,0),0)+IFERROR(IF(AND(AX$5&gt;=$C11,AX$5&lt;$G11,$D11&gt;0),$D11,0),0)+IFERROR(IF(AND(AX$5&gt;=$C12,AX$5&lt;$G12,$D12&gt;0),$D12,0),0),0)</f>
        <v/>
      </c>
      <c r="AY29" s="41">
        <f>IFERROR(IFERROR(IF(AND(AY$5&gt;=$C7,AY$5&lt;$G7,$D7&gt;0),$D7,0),0)+IFERROR(IF(AND(AY$5&gt;=$C8,AY$5&lt;$G8,$D8&gt;0),$D8,0),0)+IFERROR(IF(AND(AY$5&gt;=$C9,AY$5&lt;$G9,$D9&gt;0),$D9,0),0)+IFERROR(IF(AND(AY$5&gt;=$C10,AY$5&lt;$G10,$D10&gt;0),$D10,0),0)+IFERROR(IF(AND(AY$5&gt;=$C11,AY$5&lt;$G11,$D11&gt;0),$D11,0),0)+IFERROR(IF(AND(AY$5&gt;=$C12,AY$5&lt;$G12,$D12&gt;0),$D12,0),0),0)</f>
        <v/>
      </c>
      <c r="AZ29" s="41">
        <f>IFERROR(IFERROR(IF(AND(AZ$5&gt;=$C7,AZ$5&lt;$G7,$D7&gt;0),$D7,0),0)+IFERROR(IF(AND(AZ$5&gt;=$C8,AZ$5&lt;$G8,$D8&gt;0),$D8,0),0)+IFERROR(IF(AND(AZ$5&gt;=$C9,AZ$5&lt;$G9,$D9&gt;0),$D9,0),0)+IFERROR(IF(AND(AZ$5&gt;=$C10,AZ$5&lt;$G10,$D10&gt;0),$D10,0),0)+IFERROR(IF(AND(AZ$5&gt;=$C11,AZ$5&lt;$G11,$D11&gt;0),$D11,0),0)+IFERROR(IF(AND(AZ$5&gt;=$C12,AZ$5&lt;$G12,$D12&gt;0),$D12,0),0),0)</f>
        <v/>
      </c>
      <c r="BA29" s="41">
        <f>IFERROR(IFERROR(IF(AND(BA$5&gt;=$C7,BA$5&lt;$G7,$D7&gt;0),$D7,0),0)+IFERROR(IF(AND(BA$5&gt;=$C8,BA$5&lt;$G8,$D8&gt;0),$D8,0),0)+IFERROR(IF(AND(BA$5&gt;=$C9,BA$5&lt;$G9,$D9&gt;0),$D9,0),0)+IFERROR(IF(AND(BA$5&gt;=$C10,BA$5&lt;$G10,$D10&gt;0),$D10,0),0)+IFERROR(IF(AND(BA$5&gt;=$C11,BA$5&lt;$G11,$D11&gt;0),$D11,0),0)+IFERROR(IF(AND(BA$5&gt;=$C12,BA$5&lt;$G12,$D12&gt;0),$D12,0),0),0)</f>
        <v/>
      </c>
      <c r="BB29" s="41">
        <f>IFERROR(IFERROR(IF(AND(BB$5&gt;=$C7,BB$5&lt;$G7,$D7&gt;0),$D7,0),0)+IFERROR(IF(AND(BB$5&gt;=$C8,BB$5&lt;$G8,$D8&gt;0),$D8,0),0)+IFERROR(IF(AND(BB$5&gt;=$C9,BB$5&lt;$G9,$D9&gt;0),$D9,0),0)+IFERROR(IF(AND(BB$5&gt;=$C10,BB$5&lt;$G10,$D10&gt;0),$D10,0),0)+IFERROR(IF(AND(BB$5&gt;=$C11,BB$5&lt;$G11,$D11&gt;0),$D11,0),0)+IFERROR(IF(AND(BB$5&gt;=$C12,BB$5&lt;$G12,$D12&gt;0),$D12,0),0),0)</f>
        <v/>
      </c>
      <c r="BC29" s="41">
        <f>IFERROR(IFERROR(IF(AND(BC$5&gt;=$C7,BC$5&lt;$G7,$D7&gt;0),$D7,0),0)+IFERROR(IF(AND(BC$5&gt;=$C8,BC$5&lt;$G8,$D8&gt;0),$D8,0),0)+IFERROR(IF(AND(BC$5&gt;=$C9,BC$5&lt;$G9,$D9&gt;0),$D9,0),0)+IFERROR(IF(AND(BC$5&gt;=$C10,BC$5&lt;$G10,$D10&gt;0),$D10,0),0)+IFERROR(IF(AND(BC$5&gt;=$C11,BC$5&lt;$G11,$D11&gt;0),$D11,0),0)+IFERROR(IF(AND(BC$5&gt;=$C12,BC$5&lt;$G12,$D12&gt;0),$D12,0),0),0)</f>
        <v/>
      </c>
      <c r="BD29" s="41">
        <f>IFERROR(IFERROR(IF(AND(BD$5&gt;=$C7,BD$5&lt;$G7,$D7&gt;0),$D7,0),0)+IFERROR(IF(AND(BD$5&gt;=$C8,BD$5&lt;$G8,$D8&gt;0),$D8,0),0)+IFERROR(IF(AND(BD$5&gt;=$C9,BD$5&lt;$G9,$D9&gt;0),$D9,0),0)+IFERROR(IF(AND(BD$5&gt;=$C10,BD$5&lt;$G10,$D10&gt;0),$D10,0),0)+IFERROR(IF(AND(BD$5&gt;=$C11,BD$5&lt;$G11,$D11&gt;0),$D11,0),0)+IFERROR(IF(AND(BD$5&gt;=$C12,BD$5&lt;$G12,$D12&gt;0),$D12,0),0),0)</f>
        <v/>
      </c>
      <c r="BE29" s="41">
        <f>IFERROR(IFERROR(IF(AND(BE$5&gt;=$C7,BE$5&lt;$G7,$D7&gt;0),$D7,0),0)+IFERROR(IF(AND(BE$5&gt;=$C8,BE$5&lt;$G8,$D8&gt;0),$D8,0),0)+IFERROR(IF(AND(BE$5&gt;=$C9,BE$5&lt;$G9,$D9&gt;0),$D9,0),0)+IFERROR(IF(AND(BE$5&gt;=$C10,BE$5&lt;$G10,$D10&gt;0),$D10,0),0)+IFERROR(IF(AND(BE$5&gt;=$C11,BE$5&lt;$G11,$D11&gt;0),$D11,0),0)+IFERROR(IF(AND(BE$5&gt;=$C12,BE$5&lt;$G12,$D12&gt;0),$D12,0),0),0)</f>
        <v/>
      </c>
      <c r="BF29" s="41">
        <f>IFERROR(IFERROR(IF(AND(BF$5&gt;=$C7,BF$5&lt;$G7,$D7&gt;0),$D7,0),0)+IFERROR(IF(AND(BF$5&gt;=$C8,BF$5&lt;$G8,$D8&gt;0),$D8,0),0)+IFERROR(IF(AND(BF$5&gt;=$C9,BF$5&lt;$G9,$D9&gt;0),$D9,0),0)+IFERROR(IF(AND(BF$5&gt;=$C10,BF$5&lt;$G10,$D10&gt;0),$D10,0),0)+IFERROR(IF(AND(BF$5&gt;=$C11,BF$5&lt;$G11,$D11&gt;0),$D11,0),0)+IFERROR(IF(AND(BF$5&gt;=$C12,BF$5&lt;$G12,$D12&gt;0),$D12,0),0),0)</f>
        <v/>
      </c>
      <c r="BG29" s="41">
        <f>IFERROR(IFERROR(IF(AND(BG$5&gt;=$C7,BG$5&lt;$G7,$D7&gt;0),$D7,0),0)+IFERROR(IF(AND(BG$5&gt;=$C8,BG$5&lt;$G8,$D8&gt;0),$D8,0),0)+IFERROR(IF(AND(BG$5&gt;=$C9,BG$5&lt;$G9,$D9&gt;0),$D9,0),0)+IFERROR(IF(AND(BG$5&gt;=$C10,BG$5&lt;$G10,$D10&gt;0),$D10,0),0)+IFERROR(IF(AND(BG$5&gt;=$C11,BG$5&lt;$G11,$D11&gt;0),$D11,0),0)+IFERROR(IF(AND(BG$5&gt;=$C12,BG$5&lt;$G12,$D12&gt;0),$D12,0),0),0)</f>
        <v/>
      </c>
      <c r="BH29" s="41">
        <f>IFERROR(IFERROR(IF(AND(BH$5&gt;=$C7,BH$5&lt;$G7,$D7&gt;0),$D7,0),0)+IFERROR(IF(AND(BH$5&gt;=$C8,BH$5&lt;$G8,$D8&gt;0),$D8,0),0)+IFERROR(IF(AND(BH$5&gt;=$C9,BH$5&lt;$G9,$D9&gt;0),$D9,0),0)+IFERROR(IF(AND(BH$5&gt;=$C10,BH$5&lt;$G10,$D10&gt;0),$D10,0),0)+IFERROR(IF(AND(BH$5&gt;=$C11,BH$5&lt;$G11,$D11&gt;0),$D11,0),0)+IFERROR(IF(AND(BH$5&gt;=$C12,BH$5&lt;$G12,$D12&gt;0),$D12,0),0),0)</f>
        <v/>
      </c>
      <c r="BI29" s="41">
        <f>IFERROR(IFERROR(IF(AND(BI$5&gt;=$C7,BI$5&lt;$G7,$D7&gt;0),$D7,0),0)+IFERROR(IF(AND(BI$5&gt;=$C8,BI$5&lt;$G8,$D8&gt;0),$D8,0),0)+IFERROR(IF(AND(BI$5&gt;=$C9,BI$5&lt;$G9,$D9&gt;0),$D9,0),0)+IFERROR(IF(AND(BI$5&gt;=$C10,BI$5&lt;$G10,$D10&gt;0),$D10,0),0)+IFERROR(IF(AND(BI$5&gt;=$C11,BI$5&lt;$G11,$D11&gt;0),$D11,0),0)+IFERROR(IF(AND(BI$5&gt;=$C12,BI$5&lt;$G12,$D12&gt;0),$D12,0),0),0)</f>
        <v/>
      </c>
      <c r="BJ29" s="41">
        <f>IFERROR(IFERROR(IF(AND(BJ$5&gt;=$C7,BJ$5&lt;$G7,$D7&gt;0),$D7,0),0)+IFERROR(IF(AND(BJ$5&gt;=$C8,BJ$5&lt;$G8,$D8&gt;0),$D8,0),0)+IFERROR(IF(AND(BJ$5&gt;=$C9,BJ$5&lt;$G9,$D9&gt;0),$D9,0),0)+IFERROR(IF(AND(BJ$5&gt;=$C10,BJ$5&lt;$G10,$D10&gt;0),$D10,0),0)+IFERROR(IF(AND(BJ$5&gt;=$C11,BJ$5&lt;$G11,$D11&gt;0),$D11,0),0)+IFERROR(IF(AND(BJ$5&gt;=$C12,BJ$5&lt;$G12,$D12&gt;0),$D12,0),0),0)</f>
        <v/>
      </c>
    </row>
    <row r="30" ht="16" customHeight="1">
      <c r="A30" s="66" t="inlineStr">
        <is>
          <t>Ross PS — Plant 1230 Rearing (head count)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7" t="n"/>
      <c r="K30" s="44">
        <f>IFERROR(IFERROR(IF(AND(K$17&gt;=$C19,K$17&lt;$G19,$D19&gt;0),$D19,0),0)+IFERROR(IF(AND(K$17&gt;=$C20,K$17&lt;$G20,$D20&gt;0),$D20,0),0)+IFERROR(IF(AND(K$17&gt;=$C21,K$17&lt;$G21,$D21&gt;0),$D21,0),0)+IFERROR(IF(AND(K$17&gt;=$C22,K$17&lt;$G22,$D22&gt;0),$D22,0),0)+IFERROR(IF(AND(K$17&gt;=$C23,K$17&lt;$G23,$D23&gt;0),$D23,0),0)+IFERROR(IF(AND(K$17&gt;=$C24,K$17&lt;$G24,$D24&gt;0),$D24,0),0),0)</f>
        <v/>
      </c>
      <c r="L30" s="44">
        <f>IFERROR(IFERROR(IF(AND(L$17&gt;=$C19,L$17&lt;$G19,$D19&gt;0),$D19,0),0)+IFERROR(IF(AND(L$17&gt;=$C20,L$17&lt;$G20,$D20&gt;0),$D20,0),0)+IFERROR(IF(AND(L$17&gt;=$C21,L$17&lt;$G21,$D21&gt;0),$D21,0),0)+IFERROR(IF(AND(L$17&gt;=$C22,L$17&lt;$G22,$D22&gt;0),$D22,0),0)+IFERROR(IF(AND(L$17&gt;=$C23,L$17&lt;$G23,$D23&gt;0),$D23,0),0)+IFERROR(IF(AND(L$17&gt;=$C24,L$17&lt;$G24,$D24&gt;0),$D24,0),0),0)</f>
        <v/>
      </c>
      <c r="M30" s="44">
        <f>IFERROR(IFERROR(IF(AND(M$17&gt;=$C19,M$17&lt;$G19,$D19&gt;0),$D19,0),0)+IFERROR(IF(AND(M$17&gt;=$C20,M$17&lt;$G20,$D20&gt;0),$D20,0),0)+IFERROR(IF(AND(M$17&gt;=$C21,M$17&lt;$G21,$D21&gt;0),$D21,0),0)+IFERROR(IF(AND(M$17&gt;=$C22,M$17&lt;$G22,$D22&gt;0),$D22,0),0)+IFERROR(IF(AND(M$17&gt;=$C23,M$17&lt;$G23,$D23&gt;0),$D23,0),0)+IFERROR(IF(AND(M$17&gt;=$C24,M$17&lt;$G24,$D24&gt;0),$D24,0),0),0)</f>
        <v/>
      </c>
      <c r="N30" s="44">
        <f>IFERROR(IFERROR(IF(AND(N$17&gt;=$C19,N$17&lt;$G19,$D19&gt;0),$D19,0),0)+IFERROR(IF(AND(N$17&gt;=$C20,N$17&lt;$G20,$D20&gt;0),$D20,0),0)+IFERROR(IF(AND(N$17&gt;=$C21,N$17&lt;$G21,$D21&gt;0),$D21,0),0)+IFERROR(IF(AND(N$17&gt;=$C22,N$17&lt;$G22,$D22&gt;0),$D22,0),0)+IFERROR(IF(AND(N$17&gt;=$C23,N$17&lt;$G23,$D23&gt;0),$D23,0),0)+IFERROR(IF(AND(N$17&gt;=$C24,N$17&lt;$G24,$D24&gt;0),$D24,0),0),0)</f>
        <v/>
      </c>
      <c r="O30" s="44">
        <f>IFERROR(IFERROR(IF(AND(O$17&gt;=$C19,O$17&lt;$G19,$D19&gt;0),$D19,0),0)+IFERROR(IF(AND(O$17&gt;=$C20,O$17&lt;$G20,$D20&gt;0),$D20,0),0)+IFERROR(IF(AND(O$17&gt;=$C21,O$17&lt;$G21,$D21&gt;0),$D21,0),0)+IFERROR(IF(AND(O$17&gt;=$C22,O$17&lt;$G22,$D22&gt;0),$D22,0),0)+IFERROR(IF(AND(O$17&gt;=$C23,O$17&lt;$G23,$D23&gt;0),$D23,0),0)+IFERROR(IF(AND(O$17&gt;=$C24,O$17&lt;$G24,$D24&gt;0),$D24,0),0),0)</f>
        <v/>
      </c>
      <c r="P30" s="44">
        <f>IFERROR(IFERROR(IF(AND(P$17&gt;=$C19,P$17&lt;$G19,$D19&gt;0),$D19,0),0)+IFERROR(IF(AND(P$17&gt;=$C20,P$17&lt;$G20,$D20&gt;0),$D20,0),0)+IFERROR(IF(AND(P$17&gt;=$C21,P$17&lt;$G21,$D21&gt;0),$D21,0),0)+IFERROR(IF(AND(P$17&gt;=$C22,P$17&lt;$G22,$D22&gt;0),$D22,0),0)+IFERROR(IF(AND(P$17&gt;=$C23,P$17&lt;$G23,$D23&gt;0),$D23,0),0)+IFERROR(IF(AND(P$17&gt;=$C24,P$17&lt;$G24,$D24&gt;0),$D24,0),0),0)</f>
        <v/>
      </c>
      <c r="Q30" s="44">
        <f>IFERROR(IFERROR(IF(AND(Q$17&gt;=$C19,Q$17&lt;$G19,$D19&gt;0),$D19,0),0)+IFERROR(IF(AND(Q$17&gt;=$C20,Q$17&lt;$G20,$D20&gt;0),$D20,0),0)+IFERROR(IF(AND(Q$17&gt;=$C21,Q$17&lt;$G21,$D21&gt;0),$D21,0),0)+IFERROR(IF(AND(Q$17&gt;=$C22,Q$17&lt;$G22,$D22&gt;0),$D22,0),0)+IFERROR(IF(AND(Q$17&gt;=$C23,Q$17&lt;$G23,$D23&gt;0),$D23,0),0)+IFERROR(IF(AND(Q$17&gt;=$C24,Q$17&lt;$G24,$D24&gt;0),$D24,0),0),0)</f>
        <v/>
      </c>
      <c r="R30" s="44">
        <f>IFERROR(IFERROR(IF(AND(R$17&gt;=$C19,R$17&lt;$G19,$D19&gt;0),$D19,0),0)+IFERROR(IF(AND(R$17&gt;=$C20,R$17&lt;$G20,$D20&gt;0),$D20,0),0)+IFERROR(IF(AND(R$17&gt;=$C21,R$17&lt;$G21,$D21&gt;0),$D21,0),0)+IFERROR(IF(AND(R$17&gt;=$C22,R$17&lt;$G22,$D22&gt;0),$D22,0),0)+IFERROR(IF(AND(R$17&gt;=$C23,R$17&lt;$G23,$D23&gt;0),$D23,0),0)+IFERROR(IF(AND(R$17&gt;=$C24,R$17&lt;$G24,$D24&gt;0),$D24,0),0),0)</f>
        <v/>
      </c>
      <c r="S30" s="44">
        <f>IFERROR(IFERROR(IF(AND(S$17&gt;=$C19,S$17&lt;$G19,$D19&gt;0),$D19,0),0)+IFERROR(IF(AND(S$17&gt;=$C20,S$17&lt;$G20,$D20&gt;0),$D20,0),0)+IFERROR(IF(AND(S$17&gt;=$C21,S$17&lt;$G21,$D21&gt;0),$D21,0),0)+IFERROR(IF(AND(S$17&gt;=$C22,S$17&lt;$G22,$D22&gt;0),$D22,0),0)+IFERROR(IF(AND(S$17&gt;=$C23,S$17&lt;$G23,$D23&gt;0),$D23,0),0)+IFERROR(IF(AND(S$17&gt;=$C24,S$17&lt;$G24,$D24&gt;0),$D24,0),0),0)</f>
        <v/>
      </c>
      <c r="T30" s="44">
        <f>IFERROR(IFERROR(IF(AND(T$17&gt;=$C19,T$17&lt;$G19,$D19&gt;0),$D19,0),0)+IFERROR(IF(AND(T$17&gt;=$C20,T$17&lt;$G20,$D20&gt;0),$D20,0),0)+IFERROR(IF(AND(T$17&gt;=$C21,T$17&lt;$G21,$D21&gt;0),$D21,0),0)+IFERROR(IF(AND(T$17&gt;=$C22,T$17&lt;$G22,$D22&gt;0),$D22,0),0)+IFERROR(IF(AND(T$17&gt;=$C23,T$17&lt;$G23,$D23&gt;0),$D23,0),0)+IFERROR(IF(AND(T$17&gt;=$C24,T$17&lt;$G24,$D24&gt;0),$D24,0),0),0)</f>
        <v/>
      </c>
      <c r="U30" s="44">
        <f>IFERROR(IFERROR(IF(AND(U$17&gt;=$C19,U$17&lt;$G19,$D19&gt;0),$D19,0),0)+IFERROR(IF(AND(U$17&gt;=$C20,U$17&lt;$G20,$D20&gt;0),$D20,0),0)+IFERROR(IF(AND(U$17&gt;=$C21,U$17&lt;$G21,$D21&gt;0),$D21,0),0)+IFERROR(IF(AND(U$17&gt;=$C22,U$17&lt;$G22,$D22&gt;0),$D22,0),0)+IFERROR(IF(AND(U$17&gt;=$C23,U$17&lt;$G23,$D23&gt;0),$D23,0),0)+IFERROR(IF(AND(U$17&gt;=$C24,U$17&lt;$G24,$D24&gt;0),$D24,0),0),0)</f>
        <v/>
      </c>
      <c r="V30" s="44">
        <f>IFERROR(IFERROR(IF(AND(V$17&gt;=$C19,V$17&lt;$G19,$D19&gt;0),$D19,0),0)+IFERROR(IF(AND(V$17&gt;=$C20,V$17&lt;$G20,$D20&gt;0),$D20,0),0)+IFERROR(IF(AND(V$17&gt;=$C21,V$17&lt;$G21,$D21&gt;0),$D21,0),0)+IFERROR(IF(AND(V$17&gt;=$C22,V$17&lt;$G22,$D22&gt;0),$D22,0),0)+IFERROR(IF(AND(V$17&gt;=$C23,V$17&lt;$G23,$D23&gt;0),$D23,0),0)+IFERROR(IF(AND(V$17&gt;=$C24,V$17&lt;$G24,$D24&gt;0),$D24,0),0),0)</f>
        <v/>
      </c>
      <c r="W30" s="44">
        <f>IFERROR(IFERROR(IF(AND(W$17&gt;=$C19,W$17&lt;$G19,$D19&gt;0),$D19,0),0)+IFERROR(IF(AND(W$17&gt;=$C20,W$17&lt;$G20,$D20&gt;0),$D20,0),0)+IFERROR(IF(AND(W$17&gt;=$C21,W$17&lt;$G21,$D21&gt;0),$D21,0),0)+IFERROR(IF(AND(W$17&gt;=$C22,W$17&lt;$G22,$D22&gt;0),$D22,0),0)+IFERROR(IF(AND(W$17&gt;=$C23,W$17&lt;$G23,$D23&gt;0),$D23,0),0)+IFERROR(IF(AND(W$17&gt;=$C24,W$17&lt;$G24,$D24&gt;0),$D24,0),0),0)</f>
        <v/>
      </c>
      <c r="X30" s="44">
        <f>IFERROR(IFERROR(IF(AND(X$17&gt;=$C19,X$17&lt;$G19,$D19&gt;0),$D19,0),0)+IFERROR(IF(AND(X$17&gt;=$C20,X$17&lt;$G20,$D20&gt;0),$D20,0),0)+IFERROR(IF(AND(X$17&gt;=$C21,X$17&lt;$G21,$D21&gt;0),$D21,0),0)+IFERROR(IF(AND(X$17&gt;=$C22,X$17&lt;$G22,$D22&gt;0),$D22,0),0)+IFERROR(IF(AND(X$17&gt;=$C23,X$17&lt;$G23,$D23&gt;0),$D23,0),0)+IFERROR(IF(AND(X$17&gt;=$C24,X$17&lt;$G24,$D24&gt;0),$D24,0),0),0)</f>
        <v/>
      </c>
      <c r="Y30" s="44">
        <f>IFERROR(IFERROR(IF(AND(Y$17&gt;=$C19,Y$17&lt;$G19,$D19&gt;0),$D19,0),0)+IFERROR(IF(AND(Y$17&gt;=$C20,Y$17&lt;$G20,$D20&gt;0),$D20,0),0)+IFERROR(IF(AND(Y$17&gt;=$C21,Y$17&lt;$G21,$D21&gt;0),$D21,0),0)+IFERROR(IF(AND(Y$17&gt;=$C22,Y$17&lt;$G22,$D22&gt;0),$D22,0),0)+IFERROR(IF(AND(Y$17&gt;=$C23,Y$17&lt;$G23,$D23&gt;0),$D23,0),0)+IFERROR(IF(AND(Y$17&gt;=$C24,Y$17&lt;$G24,$D24&gt;0),$D24,0),0),0)</f>
        <v/>
      </c>
      <c r="Z30" s="44">
        <f>IFERROR(IFERROR(IF(AND(Z$17&gt;=$C19,Z$17&lt;$G19,$D19&gt;0),$D19,0),0)+IFERROR(IF(AND(Z$17&gt;=$C20,Z$17&lt;$G20,$D20&gt;0),$D20,0),0)+IFERROR(IF(AND(Z$17&gt;=$C21,Z$17&lt;$G21,$D21&gt;0),$D21,0),0)+IFERROR(IF(AND(Z$17&gt;=$C22,Z$17&lt;$G22,$D22&gt;0),$D22,0),0)+IFERROR(IF(AND(Z$17&gt;=$C23,Z$17&lt;$G23,$D23&gt;0),$D23,0),0)+IFERROR(IF(AND(Z$17&gt;=$C24,Z$17&lt;$G24,$D24&gt;0),$D24,0),0),0)</f>
        <v/>
      </c>
      <c r="AA30" s="44">
        <f>IFERROR(IFERROR(IF(AND(AA$17&gt;=$C19,AA$17&lt;$G19,$D19&gt;0),$D19,0),0)+IFERROR(IF(AND(AA$17&gt;=$C20,AA$17&lt;$G20,$D20&gt;0),$D20,0),0)+IFERROR(IF(AND(AA$17&gt;=$C21,AA$17&lt;$G21,$D21&gt;0),$D21,0),0)+IFERROR(IF(AND(AA$17&gt;=$C22,AA$17&lt;$G22,$D22&gt;0),$D22,0),0)+IFERROR(IF(AND(AA$17&gt;=$C23,AA$17&lt;$G23,$D23&gt;0),$D23,0),0)+IFERROR(IF(AND(AA$17&gt;=$C24,AA$17&lt;$G24,$D24&gt;0),$D24,0),0),0)</f>
        <v/>
      </c>
      <c r="AB30" s="44">
        <f>IFERROR(IFERROR(IF(AND(AB$17&gt;=$C19,AB$17&lt;$G19,$D19&gt;0),$D19,0),0)+IFERROR(IF(AND(AB$17&gt;=$C20,AB$17&lt;$G20,$D20&gt;0),$D20,0),0)+IFERROR(IF(AND(AB$17&gt;=$C21,AB$17&lt;$G21,$D21&gt;0),$D21,0),0)+IFERROR(IF(AND(AB$17&gt;=$C22,AB$17&lt;$G22,$D22&gt;0),$D22,0),0)+IFERROR(IF(AND(AB$17&gt;=$C23,AB$17&lt;$G23,$D23&gt;0),$D23,0),0)+IFERROR(IF(AND(AB$17&gt;=$C24,AB$17&lt;$G24,$D24&gt;0),$D24,0),0),0)</f>
        <v/>
      </c>
      <c r="AC30" s="44">
        <f>IFERROR(IFERROR(IF(AND(AC$17&gt;=$C19,AC$17&lt;$G19,$D19&gt;0),$D19,0),0)+IFERROR(IF(AND(AC$17&gt;=$C20,AC$17&lt;$G20,$D20&gt;0),$D20,0),0)+IFERROR(IF(AND(AC$17&gt;=$C21,AC$17&lt;$G21,$D21&gt;0),$D21,0),0)+IFERROR(IF(AND(AC$17&gt;=$C22,AC$17&lt;$G22,$D22&gt;0),$D22,0),0)+IFERROR(IF(AND(AC$17&gt;=$C23,AC$17&lt;$G23,$D23&gt;0),$D23,0),0)+IFERROR(IF(AND(AC$17&gt;=$C24,AC$17&lt;$G24,$D24&gt;0),$D24,0),0),0)</f>
        <v/>
      </c>
      <c r="AD30" s="44">
        <f>IFERROR(IFERROR(IF(AND(AD$17&gt;=$C19,AD$17&lt;$G19,$D19&gt;0),$D19,0),0)+IFERROR(IF(AND(AD$17&gt;=$C20,AD$17&lt;$G20,$D20&gt;0),$D20,0),0)+IFERROR(IF(AND(AD$17&gt;=$C21,AD$17&lt;$G21,$D21&gt;0),$D21,0),0)+IFERROR(IF(AND(AD$17&gt;=$C22,AD$17&lt;$G22,$D22&gt;0),$D22,0),0)+IFERROR(IF(AND(AD$17&gt;=$C23,AD$17&lt;$G23,$D23&gt;0),$D23,0),0)+IFERROR(IF(AND(AD$17&gt;=$C24,AD$17&lt;$G24,$D24&gt;0),$D24,0),0),0)</f>
        <v/>
      </c>
      <c r="AE30" s="44">
        <f>IFERROR(IFERROR(IF(AND(AE$17&gt;=$C19,AE$17&lt;$G19,$D19&gt;0),$D19,0),0)+IFERROR(IF(AND(AE$17&gt;=$C20,AE$17&lt;$G20,$D20&gt;0),$D20,0),0)+IFERROR(IF(AND(AE$17&gt;=$C21,AE$17&lt;$G21,$D21&gt;0),$D21,0),0)+IFERROR(IF(AND(AE$17&gt;=$C22,AE$17&lt;$G22,$D22&gt;0),$D22,0),0)+IFERROR(IF(AND(AE$17&gt;=$C23,AE$17&lt;$G23,$D23&gt;0),$D23,0),0)+IFERROR(IF(AND(AE$17&gt;=$C24,AE$17&lt;$G24,$D24&gt;0),$D24,0),0),0)</f>
        <v/>
      </c>
      <c r="AF30" s="44">
        <f>IFERROR(IFERROR(IF(AND(AF$17&gt;=$C19,AF$17&lt;$G19,$D19&gt;0),$D19,0),0)+IFERROR(IF(AND(AF$17&gt;=$C20,AF$17&lt;$G20,$D20&gt;0),$D20,0),0)+IFERROR(IF(AND(AF$17&gt;=$C21,AF$17&lt;$G21,$D21&gt;0),$D21,0),0)+IFERROR(IF(AND(AF$17&gt;=$C22,AF$17&lt;$G22,$D22&gt;0),$D22,0),0)+IFERROR(IF(AND(AF$17&gt;=$C23,AF$17&lt;$G23,$D23&gt;0),$D23,0),0)+IFERROR(IF(AND(AF$17&gt;=$C24,AF$17&lt;$G24,$D24&gt;0),$D24,0),0),0)</f>
        <v/>
      </c>
      <c r="AG30" s="44">
        <f>IFERROR(IFERROR(IF(AND(AG$17&gt;=$C19,AG$17&lt;$G19,$D19&gt;0),$D19,0),0)+IFERROR(IF(AND(AG$17&gt;=$C20,AG$17&lt;$G20,$D20&gt;0),$D20,0),0)+IFERROR(IF(AND(AG$17&gt;=$C21,AG$17&lt;$G21,$D21&gt;0),$D21,0),0)+IFERROR(IF(AND(AG$17&gt;=$C22,AG$17&lt;$G22,$D22&gt;0),$D22,0),0)+IFERROR(IF(AND(AG$17&gt;=$C23,AG$17&lt;$G23,$D23&gt;0),$D23,0),0)+IFERROR(IF(AND(AG$17&gt;=$C24,AG$17&lt;$G24,$D24&gt;0),$D24,0),0),0)</f>
        <v/>
      </c>
      <c r="AH30" s="44">
        <f>IFERROR(IFERROR(IF(AND(AH$17&gt;=$C19,AH$17&lt;$G19,$D19&gt;0),$D19,0),0)+IFERROR(IF(AND(AH$17&gt;=$C20,AH$17&lt;$G20,$D20&gt;0),$D20,0),0)+IFERROR(IF(AND(AH$17&gt;=$C21,AH$17&lt;$G21,$D21&gt;0),$D21,0),0)+IFERROR(IF(AND(AH$17&gt;=$C22,AH$17&lt;$G22,$D22&gt;0),$D22,0),0)+IFERROR(IF(AND(AH$17&gt;=$C23,AH$17&lt;$G23,$D23&gt;0),$D23,0),0)+IFERROR(IF(AND(AH$17&gt;=$C24,AH$17&lt;$G24,$D24&gt;0),$D24,0),0),0)</f>
        <v/>
      </c>
      <c r="AI30" s="44">
        <f>IFERROR(IFERROR(IF(AND(AI$17&gt;=$C19,AI$17&lt;$G19,$D19&gt;0),$D19,0),0)+IFERROR(IF(AND(AI$17&gt;=$C20,AI$17&lt;$G20,$D20&gt;0),$D20,0),0)+IFERROR(IF(AND(AI$17&gt;=$C21,AI$17&lt;$G21,$D21&gt;0),$D21,0),0)+IFERROR(IF(AND(AI$17&gt;=$C22,AI$17&lt;$G22,$D22&gt;0),$D22,0),0)+IFERROR(IF(AND(AI$17&gt;=$C23,AI$17&lt;$G23,$D23&gt;0),$D23,0),0)+IFERROR(IF(AND(AI$17&gt;=$C24,AI$17&lt;$G24,$D24&gt;0),$D24,0),0),0)</f>
        <v/>
      </c>
      <c r="AJ30" s="44">
        <f>IFERROR(IFERROR(IF(AND(AJ$17&gt;=$C19,AJ$17&lt;$G19,$D19&gt;0),$D19,0),0)+IFERROR(IF(AND(AJ$17&gt;=$C20,AJ$17&lt;$G20,$D20&gt;0),$D20,0),0)+IFERROR(IF(AND(AJ$17&gt;=$C21,AJ$17&lt;$G21,$D21&gt;0),$D21,0),0)+IFERROR(IF(AND(AJ$17&gt;=$C22,AJ$17&lt;$G22,$D22&gt;0),$D22,0),0)+IFERROR(IF(AND(AJ$17&gt;=$C23,AJ$17&lt;$G23,$D23&gt;0),$D23,0),0)+IFERROR(IF(AND(AJ$17&gt;=$C24,AJ$17&lt;$G24,$D24&gt;0),$D24,0),0),0)</f>
        <v/>
      </c>
      <c r="AK30" s="44">
        <f>IFERROR(IFERROR(IF(AND(AK$17&gt;=$C19,AK$17&lt;$G19,$D19&gt;0),$D19,0),0)+IFERROR(IF(AND(AK$17&gt;=$C20,AK$17&lt;$G20,$D20&gt;0),$D20,0),0)+IFERROR(IF(AND(AK$17&gt;=$C21,AK$17&lt;$G21,$D21&gt;0),$D21,0),0)+IFERROR(IF(AND(AK$17&gt;=$C22,AK$17&lt;$G22,$D22&gt;0),$D22,0),0)+IFERROR(IF(AND(AK$17&gt;=$C23,AK$17&lt;$G23,$D23&gt;0),$D23,0),0)+IFERROR(IF(AND(AK$17&gt;=$C24,AK$17&lt;$G24,$D24&gt;0),$D24,0),0),0)</f>
        <v/>
      </c>
      <c r="AL30" s="44">
        <f>IFERROR(IFERROR(IF(AND(AL$17&gt;=$C19,AL$17&lt;$G19,$D19&gt;0),$D19,0),0)+IFERROR(IF(AND(AL$17&gt;=$C20,AL$17&lt;$G20,$D20&gt;0),$D20,0),0)+IFERROR(IF(AND(AL$17&gt;=$C21,AL$17&lt;$G21,$D21&gt;0),$D21,0),0)+IFERROR(IF(AND(AL$17&gt;=$C22,AL$17&lt;$G22,$D22&gt;0),$D22,0),0)+IFERROR(IF(AND(AL$17&gt;=$C23,AL$17&lt;$G23,$D23&gt;0),$D23,0),0)+IFERROR(IF(AND(AL$17&gt;=$C24,AL$17&lt;$G24,$D24&gt;0),$D24,0),0),0)</f>
        <v/>
      </c>
      <c r="AM30" s="44">
        <f>IFERROR(IFERROR(IF(AND(AM$17&gt;=$C19,AM$17&lt;$G19,$D19&gt;0),$D19,0),0)+IFERROR(IF(AND(AM$17&gt;=$C20,AM$17&lt;$G20,$D20&gt;0),$D20,0),0)+IFERROR(IF(AND(AM$17&gt;=$C21,AM$17&lt;$G21,$D21&gt;0),$D21,0),0)+IFERROR(IF(AND(AM$17&gt;=$C22,AM$17&lt;$G22,$D22&gt;0),$D22,0),0)+IFERROR(IF(AND(AM$17&gt;=$C23,AM$17&lt;$G23,$D23&gt;0),$D23,0),0)+IFERROR(IF(AND(AM$17&gt;=$C24,AM$17&lt;$G24,$D24&gt;0),$D24,0),0),0)</f>
        <v/>
      </c>
      <c r="AN30" s="44">
        <f>IFERROR(IFERROR(IF(AND(AN$17&gt;=$C19,AN$17&lt;$G19,$D19&gt;0),$D19,0),0)+IFERROR(IF(AND(AN$17&gt;=$C20,AN$17&lt;$G20,$D20&gt;0),$D20,0),0)+IFERROR(IF(AND(AN$17&gt;=$C21,AN$17&lt;$G21,$D21&gt;0),$D21,0),0)+IFERROR(IF(AND(AN$17&gt;=$C22,AN$17&lt;$G22,$D22&gt;0),$D22,0),0)+IFERROR(IF(AND(AN$17&gt;=$C23,AN$17&lt;$G23,$D23&gt;0),$D23,0),0)+IFERROR(IF(AND(AN$17&gt;=$C24,AN$17&lt;$G24,$D24&gt;0),$D24,0),0),0)</f>
        <v/>
      </c>
      <c r="AO30" s="44">
        <f>IFERROR(IFERROR(IF(AND(AO$17&gt;=$C19,AO$17&lt;$G19,$D19&gt;0),$D19,0),0)+IFERROR(IF(AND(AO$17&gt;=$C20,AO$17&lt;$G20,$D20&gt;0),$D20,0),0)+IFERROR(IF(AND(AO$17&gt;=$C21,AO$17&lt;$G21,$D21&gt;0),$D21,0),0)+IFERROR(IF(AND(AO$17&gt;=$C22,AO$17&lt;$G22,$D22&gt;0),$D22,0),0)+IFERROR(IF(AND(AO$17&gt;=$C23,AO$17&lt;$G23,$D23&gt;0),$D23,0),0)+IFERROR(IF(AND(AO$17&gt;=$C24,AO$17&lt;$G24,$D24&gt;0),$D24,0),0),0)</f>
        <v/>
      </c>
      <c r="AP30" s="44">
        <f>IFERROR(IFERROR(IF(AND(AP$17&gt;=$C19,AP$17&lt;$G19,$D19&gt;0),$D19,0),0)+IFERROR(IF(AND(AP$17&gt;=$C20,AP$17&lt;$G20,$D20&gt;0),$D20,0),0)+IFERROR(IF(AND(AP$17&gt;=$C21,AP$17&lt;$G21,$D21&gt;0),$D21,0),0)+IFERROR(IF(AND(AP$17&gt;=$C22,AP$17&lt;$G22,$D22&gt;0),$D22,0),0)+IFERROR(IF(AND(AP$17&gt;=$C23,AP$17&lt;$G23,$D23&gt;0),$D23,0),0)+IFERROR(IF(AND(AP$17&gt;=$C24,AP$17&lt;$G24,$D24&gt;0),$D24,0),0),0)</f>
        <v/>
      </c>
      <c r="AQ30" s="44">
        <f>IFERROR(IFERROR(IF(AND(AQ$17&gt;=$C19,AQ$17&lt;$G19,$D19&gt;0),$D19,0),0)+IFERROR(IF(AND(AQ$17&gt;=$C20,AQ$17&lt;$G20,$D20&gt;0),$D20,0),0)+IFERROR(IF(AND(AQ$17&gt;=$C21,AQ$17&lt;$G21,$D21&gt;0),$D21,0),0)+IFERROR(IF(AND(AQ$17&gt;=$C22,AQ$17&lt;$G22,$D22&gt;0),$D22,0),0)+IFERROR(IF(AND(AQ$17&gt;=$C23,AQ$17&lt;$G23,$D23&gt;0),$D23,0),0)+IFERROR(IF(AND(AQ$17&gt;=$C24,AQ$17&lt;$G24,$D24&gt;0),$D24,0),0),0)</f>
        <v/>
      </c>
      <c r="AR30" s="44">
        <f>IFERROR(IFERROR(IF(AND(AR$17&gt;=$C19,AR$17&lt;$G19,$D19&gt;0),$D19,0),0)+IFERROR(IF(AND(AR$17&gt;=$C20,AR$17&lt;$G20,$D20&gt;0),$D20,0),0)+IFERROR(IF(AND(AR$17&gt;=$C21,AR$17&lt;$G21,$D21&gt;0),$D21,0),0)+IFERROR(IF(AND(AR$17&gt;=$C22,AR$17&lt;$G22,$D22&gt;0),$D22,0),0)+IFERROR(IF(AND(AR$17&gt;=$C23,AR$17&lt;$G23,$D23&gt;0),$D23,0),0)+IFERROR(IF(AND(AR$17&gt;=$C24,AR$17&lt;$G24,$D24&gt;0),$D24,0),0),0)</f>
        <v/>
      </c>
      <c r="AS30" s="44">
        <f>IFERROR(IFERROR(IF(AND(AS$17&gt;=$C19,AS$17&lt;$G19,$D19&gt;0),$D19,0),0)+IFERROR(IF(AND(AS$17&gt;=$C20,AS$17&lt;$G20,$D20&gt;0),$D20,0),0)+IFERROR(IF(AND(AS$17&gt;=$C21,AS$17&lt;$G21,$D21&gt;0),$D21,0),0)+IFERROR(IF(AND(AS$17&gt;=$C22,AS$17&lt;$G22,$D22&gt;0),$D22,0),0)+IFERROR(IF(AND(AS$17&gt;=$C23,AS$17&lt;$G23,$D23&gt;0),$D23,0),0)+IFERROR(IF(AND(AS$17&gt;=$C24,AS$17&lt;$G24,$D24&gt;0),$D24,0),0),0)</f>
        <v/>
      </c>
      <c r="AT30" s="44">
        <f>IFERROR(IFERROR(IF(AND(AT$17&gt;=$C19,AT$17&lt;$G19,$D19&gt;0),$D19,0),0)+IFERROR(IF(AND(AT$17&gt;=$C20,AT$17&lt;$G20,$D20&gt;0),$D20,0),0)+IFERROR(IF(AND(AT$17&gt;=$C21,AT$17&lt;$G21,$D21&gt;0),$D21,0),0)+IFERROR(IF(AND(AT$17&gt;=$C22,AT$17&lt;$G22,$D22&gt;0),$D22,0),0)+IFERROR(IF(AND(AT$17&gt;=$C23,AT$17&lt;$G23,$D23&gt;0),$D23,0),0)+IFERROR(IF(AND(AT$17&gt;=$C24,AT$17&lt;$G24,$D24&gt;0),$D24,0),0),0)</f>
        <v/>
      </c>
      <c r="AU30" s="44">
        <f>IFERROR(IFERROR(IF(AND(AU$17&gt;=$C19,AU$17&lt;$G19,$D19&gt;0),$D19,0),0)+IFERROR(IF(AND(AU$17&gt;=$C20,AU$17&lt;$G20,$D20&gt;0),$D20,0),0)+IFERROR(IF(AND(AU$17&gt;=$C21,AU$17&lt;$G21,$D21&gt;0),$D21,0),0)+IFERROR(IF(AND(AU$17&gt;=$C22,AU$17&lt;$G22,$D22&gt;0),$D22,0),0)+IFERROR(IF(AND(AU$17&gt;=$C23,AU$17&lt;$G23,$D23&gt;0),$D23,0),0)+IFERROR(IF(AND(AU$17&gt;=$C24,AU$17&lt;$G24,$D24&gt;0),$D24,0),0),0)</f>
        <v/>
      </c>
      <c r="AV30" s="44">
        <f>IFERROR(IFERROR(IF(AND(AV$17&gt;=$C19,AV$17&lt;$G19,$D19&gt;0),$D19,0),0)+IFERROR(IF(AND(AV$17&gt;=$C20,AV$17&lt;$G20,$D20&gt;0),$D20,0),0)+IFERROR(IF(AND(AV$17&gt;=$C21,AV$17&lt;$G21,$D21&gt;0),$D21,0),0)+IFERROR(IF(AND(AV$17&gt;=$C22,AV$17&lt;$G22,$D22&gt;0),$D22,0),0)+IFERROR(IF(AND(AV$17&gt;=$C23,AV$17&lt;$G23,$D23&gt;0),$D23,0),0)+IFERROR(IF(AND(AV$17&gt;=$C24,AV$17&lt;$G24,$D24&gt;0),$D24,0),0),0)</f>
        <v/>
      </c>
      <c r="AW30" s="44">
        <f>IFERROR(IFERROR(IF(AND(AW$17&gt;=$C19,AW$17&lt;$G19,$D19&gt;0),$D19,0),0)+IFERROR(IF(AND(AW$17&gt;=$C20,AW$17&lt;$G20,$D20&gt;0),$D20,0),0)+IFERROR(IF(AND(AW$17&gt;=$C21,AW$17&lt;$G21,$D21&gt;0),$D21,0),0)+IFERROR(IF(AND(AW$17&gt;=$C22,AW$17&lt;$G22,$D22&gt;0),$D22,0),0)+IFERROR(IF(AND(AW$17&gt;=$C23,AW$17&lt;$G23,$D23&gt;0),$D23,0),0)+IFERROR(IF(AND(AW$17&gt;=$C24,AW$17&lt;$G24,$D24&gt;0),$D24,0),0),0)</f>
        <v/>
      </c>
      <c r="AX30" s="44">
        <f>IFERROR(IFERROR(IF(AND(AX$17&gt;=$C19,AX$17&lt;$G19,$D19&gt;0),$D19,0),0)+IFERROR(IF(AND(AX$17&gt;=$C20,AX$17&lt;$G20,$D20&gt;0),$D20,0),0)+IFERROR(IF(AND(AX$17&gt;=$C21,AX$17&lt;$G21,$D21&gt;0),$D21,0),0)+IFERROR(IF(AND(AX$17&gt;=$C22,AX$17&lt;$G22,$D22&gt;0),$D22,0),0)+IFERROR(IF(AND(AX$17&gt;=$C23,AX$17&lt;$G23,$D23&gt;0),$D23,0),0)+IFERROR(IF(AND(AX$17&gt;=$C24,AX$17&lt;$G24,$D24&gt;0),$D24,0),0),0)</f>
        <v/>
      </c>
      <c r="AY30" s="44">
        <f>IFERROR(IFERROR(IF(AND(AY$17&gt;=$C19,AY$17&lt;$G19,$D19&gt;0),$D19,0),0)+IFERROR(IF(AND(AY$17&gt;=$C20,AY$17&lt;$G20,$D20&gt;0),$D20,0),0)+IFERROR(IF(AND(AY$17&gt;=$C21,AY$17&lt;$G21,$D21&gt;0),$D21,0),0)+IFERROR(IF(AND(AY$17&gt;=$C22,AY$17&lt;$G22,$D22&gt;0),$D22,0),0)+IFERROR(IF(AND(AY$17&gt;=$C23,AY$17&lt;$G23,$D23&gt;0),$D23,0),0)+IFERROR(IF(AND(AY$17&gt;=$C24,AY$17&lt;$G24,$D24&gt;0),$D24,0),0),0)</f>
        <v/>
      </c>
      <c r="AZ30" s="44">
        <f>IFERROR(IFERROR(IF(AND(AZ$17&gt;=$C19,AZ$17&lt;$G19,$D19&gt;0),$D19,0),0)+IFERROR(IF(AND(AZ$17&gt;=$C20,AZ$17&lt;$G20,$D20&gt;0),$D20,0),0)+IFERROR(IF(AND(AZ$17&gt;=$C21,AZ$17&lt;$G21,$D21&gt;0),$D21,0),0)+IFERROR(IF(AND(AZ$17&gt;=$C22,AZ$17&lt;$G22,$D22&gt;0),$D22,0),0)+IFERROR(IF(AND(AZ$17&gt;=$C23,AZ$17&lt;$G23,$D23&gt;0),$D23,0),0)+IFERROR(IF(AND(AZ$17&gt;=$C24,AZ$17&lt;$G24,$D24&gt;0),$D24,0),0),0)</f>
        <v/>
      </c>
      <c r="BA30" s="44">
        <f>IFERROR(IFERROR(IF(AND(BA$17&gt;=$C19,BA$17&lt;$G19,$D19&gt;0),$D19,0),0)+IFERROR(IF(AND(BA$17&gt;=$C20,BA$17&lt;$G20,$D20&gt;0),$D20,0),0)+IFERROR(IF(AND(BA$17&gt;=$C21,BA$17&lt;$G21,$D21&gt;0),$D21,0),0)+IFERROR(IF(AND(BA$17&gt;=$C22,BA$17&lt;$G22,$D22&gt;0),$D22,0),0)+IFERROR(IF(AND(BA$17&gt;=$C23,BA$17&lt;$G23,$D23&gt;0),$D23,0),0)+IFERROR(IF(AND(BA$17&gt;=$C24,BA$17&lt;$G24,$D24&gt;0),$D24,0),0),0)</f>
        <v/>
      </c>
      <c r="BB30" s="44">
        <f>IFERROR(IFERROR(IF(AND(BB$17&gt;=$C19,BB$17&lt;$G19,$D19&gt;0),$D19,0),0)+IFERROR(IF(AND(BB$17&gt;=$C20,BB$17&lt;$G20,$D20&gt;0),$D20,0),0)+IFERROR(IF(AND(BB$17&gt;=$C21,BB$17&lt;$G21,$D21&gt;0),$D21,0),0)+IFERROR(IF(AND(BB$17&gt;=$C22,BB$17&lt;$G22,$D22&gt;0),$D22,0),0)+IFERROR(IF(AND(BB$17&gt;=$C23,BB$17&lt;$G23,$D23&gt;0),$D23,0),0)+IFERROR(IF(AND(BB$17&gt;=$C24,BB$17&lt;$G24,$D24&gt;0),$D24,0),0),0)</f>
        <v/>
      </c>
      <c r="BC30" s="44">
        <f>IFERROR(IFERROR(IF(AND(BC$17&gt;=$C19,BC$17&lt;$G19,$D19&gt;0),$D19,0),0)+IFERROR(IF(AND(BC$17&gt;=$C20,BC$17&lt;$G20,$D20&gt;0),$D20,0),0)+IFERROR(IF(AND(BC$17&gt;=$C21,BC$17&lt;$G21,$D21&gt;0),$D21,0),0)+IFERROR(IF(AND(BC$17&gt;=$C22,BC$17&lt;$G22,$D22&gt;0),$D22,0),0)+IFERROR(IF(AND(BC$17&gt;=$C23,BC$17&lt;$G23,$D23&gt;0),$D23,0),0)+IFERROR(IF(AND(BC$17&gt;=$C24,BC$17&lt;$G24,$D24&gt;0),$D24,0),0),0)</f>
        <v/>
      </c>
      <c r="BD30" s="44">
        <f>IFERROR(IFERROR(IF(AND(BD$17&gt;=$C19,BD$17&lt;$G19,$D19&gt;0),$D19,0),0)+IFERROR(IF(AND(BD$17&gt;=$C20,BD$17&lt;$G20,$D20&gt;0),$D20,0),0)+IFERROR(IF(AND(BD$17&gt;=$C21,BD$17&lt;$G21,$D21&gt;0),$D21,0),0)+IFERROR(IF(AND(BD$17&gt;=$C22,BD$17&lt;$G22,$D22&gt;0),$D22,0),0)+IFERROR(IF(AND(BD$17&gt;=$C23,BD$17&lt;$G23,$D23&gt;0),$D23,0),0)+IFERROR(IF(AND(BD$17&gt;=$C24,BD$17&lt;$G24,$D24&gt;0),$D24,0),0),0)</f>
        <v/>
      </c>
      <c r="BE30" s="44">
        <f>IFERROR(IFERROR(IF(AND(BE$17&gt;=$C19,BE$17&lt;$G19,$D19&gt;0),$D19,0),0)+IFERROR(IF(AND(BE$17&gt;=$C20,BE$17&lt;$G20,$D20&gt;0),$D20,0),0)+IFERROR(IF(AND(BE$17&gt;=$C21,BE$17&lt;$G21,$D21&gt;0),$D21,0),0)+IFERROR(IF(AND(BE$17&gt;=$C22,BE$17&lt;$G22,$D22&gt;0),$D22,0),0)+IFERROR(IF(AND(BE$17&gt;=$C23,BE$17&lt;$G23,$D23&gt;0),$D23,0),0)+IFERROR(IF(AND(BE$17&gt;=$C24,BE$17&lt;$G24,$D24&gt;0),$D24,0),0),0)</f>
        <v/>
      </c>
      <c r="BF30" s="44">
        <f>IFERROR(IFERROR(IF(AND(BF$17&gt;=$C19,BF$17&lt;$G19,$D19&gt;0),$D19,0),0)+IFERROR(IF(AND(BF$17&gt;=$C20,BF$17&lt;$G20,$D20&gt;0),$D20,0),0)+IFERROR(IF(AND(BF$17&gt;=$C21,BF$17&lt;$G21,$D21&gt;0),$D21,0),0)+IFERROR(IF(AND(BF$17&gt;=$C22,BF$17&lt;$G22,$D22&gt;0),$D22,0),0)+IFERROR(IF(AND(BF$17&gt;=$C23,BF$17&lt;$G23,$D23&gt;0),$D23,0),0)+IFERROR(IF(AND(BF$17&gt;=$C24,BF$17&lt;$G24,$D24&gt;0),$D24,0),0),0)</f>
        <v/>
      </c>
      <c r="BG30" s="44">
        <f>IFERROR(IFERROR(IF(AND(BG$17&gt;=$C19,BG$17&lt;$G19,$D19&gt;0),$D19,0),0)+IFERROR(IF(AND(BG$17&gt;=$C20,BG$17&lt;$G20,$D20&gt;0),$D20,0),0)+IFERROR(IF(AND(BG$17&gt;=$C21,BG$17&lt;$G21,$D21&gt;0),$D21,0),0)+IFERROR(IF(AND(BG$17&gt;=$C22,BG$17&lt;$G22,$D22&gt;0),$D22,0),0)+IFERROR(IF(AND(BG$17&gt;=$C23,BG$17&lt;$G23,$D23&gt;0),$D23,0),0)+IFERROR(IF(AND(BG$17&gt;=$C24,BG$17&lt;$G24,$D24&gt;0),$D24,0),0),0)</f>
        <v/>
      </c>
      <c r="BH30" s="44">
        <f>IFERROR(IFERROR(IF(AND(BH$17&gt;=$C19,BH$17&lt;$G19,$D19&gt;0),$D19,0),0)+IFERROR(IF(AND(BH$17&gt;=$C20,BH$17&lt;$G20,$D20&gt;0),$D20,0),0)+IFERROR(IF(AND(BH$17&gt;=$C21,BH$17&lt;$G21,$D21&gt;0),$D21,0),0)+IFERROR(IF(AND(BH$17&gt;=$C22,BH$17&lt;$G22,$D22&gt;0),$D22,0),0)+IFERROR(IF(AND(BH$17&gt;=$C23,BH$17&lt;$G23,$D23&gt;0),$D23,0),0)+IFERROR(IF(AND(BH$17&gt;=$C24,BH$17&lt;$G24,$D24&gt;0),$D24,0),0),0)</f>
        <v/>
      </c>
      <c r="BI30" s="44">
        <f>IFERROR(IFERROR(IF(AND(BI$17&gt;=$C19,BI$17&lt;$G19,$D19&gt;0),$D19,0),0)+IFERROR(IF(AND(BI$17&gt;=$C20,BI$17&lt;$G20,$D20&gt;0),$D20,0),0)+IFERROR(IF(AND(BI$17&gt;=$C21,BI$17&lt;$G21,$D21&gt;0),$D21,0),0)+IFERROR(IF(AND(BI$17&gt;=$C22,BI$17&lt;$G22,$D22&gt;0),$D22,0),0)+IFERROR(IF(AND(BI$17&gt;=$C23,BI$17&lt;$G23,$D23&gt;0),$D23,0),0)+IFERROR(IF(AND(BI$17&gt;=$C24,BI$17&lt;$G24,$D24&gt;0),$D24,0),0),0)</f>
        <v/>
      </c>
      <c r="BJ30" s="44">
        <f>IFERROR(IFERROR(IF(AND(BJ$17&gt;=$C19,BJ$17&lt;$G19,$D19&gt;0),$D19,0),0)+IFERROR(IF(AND(BJ$17&gt;=$C20,BJ$17&lt;$G20,$D20&gt;0),$D20,0),0)+IFERROR(IF(AND(BJ$17&gt;=$C21,BJ$17&lt;$G21,$D21&gt;0),$D21,0),0)+IFERROR(IF(AND(BJ$17&gt;=$C22,BJ$17&lt;$G22,$D22&gt;0),$D22,0),0)+IFERROR(IF(AND(BJ$17&gt;=$C23,BJ$17&lt;$G23,$D23&gt;0),$D23,0),0)+IFERROR(IF(AND(BJ$17&gt;=$C24,BJ$17&lt;$G24,$D24&gt;0),$D24,0),0),0)</f>
        <v/>
      </c>
    </row>
    <row r="31" ht="16" customHeight="1">
      <c r="A31" s="22" t="inlineStr">
        <is>
          <t>TOTAL Plant 1230 vs Capacity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7" t="n"/>
      <c r="K31" s="67">
        <f>K29+K30</f>
        <v/>
      </c>
      <c r="L31" s="67">
        <f>L29+L30</f>
        <v/>
      </c>
      <c r="M31" s="67">
        <f>M29+M30</f>
        <v/>
      </c>
      <c r="N31" s="67">
        <f>N29+N30</f>
        <v/>
      </c>
      <c r="O31" s="67">
        <f>O29+O30</f>
        <v/>
      </c>
      <c r="P31" s="67">
        <f>P29+P30</f>
        <v/>
      </c>
      <c r="Q31" s="67">
        <f>Q29+Q30</f>
        <v/>
      </c>
      <c r="R31" s="67">
        <f>R29+R30</f>
        <v/>
      </c>
      <c r="S31" s="67">
        <f>S29+S30</f>
        <v/>
      </c>
      <c r="T31" s="67">
        <f>T29+T30</f>
        <v/>
      </c>
      <c r="U31" s="67">
        <f>U29+U30</f>
        <v/>
      </c>
      <c r="V31" s="67">
        <f>V29+V30</f>
        <v/>
      </c>
      <c r="W31" s="67">
        <f>W29+W30</f>
        <v/>
      </c>
      <c r="X31" s="67">
        <f>X29+X30</f>
        <v/>
      </c>
      <c r="Y31" s="67">
        <f>Y29+Y30</f>
        <v/>
      </c>
      <c r="Z31" s="67">
        <f>Z29+Z30</f>
        <v/>
      </c>
      <c r="AA31" s="67">
        <f>AA29+AA30</f>
        <v/>
      </c>
      <c r="AB31" s="67">
        <f>AB29+AB30</f>
        <v/>
      </c>
      <c r="AC31" s="67">
        <f>AC29+AC30</f>
        <v/>
      </c>
      <c r="AD31" s="67">
        <f>AD29+AD30</f>
        <v/>
      </c>
      <c r="AE31" s="67">
        <f>AE29+AE30</f>
        <v/>
      </c>
      <c r="AF31" s="67">
        <f>AF29+AF30</f>
        <v/>
      </c>
      <c r="AG31" s="67">
        <f>AG29+AG30</f>
        <v/>
      </c>
      <c r="AH31" s="67">
        <f>AH29+AH30</f>
        <v/>
      </c>
      <c r="AI31" s="67">
        <f>AI29+AI30</f>
        <v/>
      </c>
      <c r="AJ31" s="67">
        <f>AJ29+AJ30</f>
        <v/>
      </c>
      <c r="AK31" s="67">
        <f>AK29+AK30</f>
        <v/>
      </c>
      <c r="AL31" s="67">
        <f>AL29+AL30</f>
        <v/>
      </c>
      <c r="AM31" s="67">
        <f>AM29+AM30</f>
        <v/>
      </c>
      <c r="AN31" s="67">
        <f>AN29+AN30</f>
        <v/>
      </c>
      <c r="AO31" s="67">
        <f>AO29+AO30</f>
        <v/>
      </c>
      <c r="AP31" s="67">
        <f>AP29+AP30</f>
        <v/>
      </c>
      <c r="AQ31" s="67">
        <f>AQ29+AQ30</f>
        <v/>
      </c>
      <c r="AR31" s="67">
        <f>AR29+AR30</f>
        <v/>
      </c>
      <c r="AS31" s="67">
        <f>AS29+AS30</f>
        <v/>
      </c>
      <c r="AT31" s="67">
        <f>AT29+AT30</f>
        <v/>
      </c>
      <c r="AU31" s="67">
        <f>AU29+AU30</f>
        <v/>
      </c>
      <c r="AV31" s="67">
        <f>AV29+AV30</f>
        <v/>
      </c>
      <c r="AW31" s="67">
        <f>AW29+AW30</f>
        <v/>
      </c>
      <c r="AX31" s="67">
        <f>AX29+AX30</f>
        <v/>
      </c>
      <c r="AY31" s="67">
        <f>AY29+AY30</f>
        <v/>
      </c>
      <c r="AZ31" s="67">
        <f>AZ29+AZ30</f>
        <v/>
      </c>
      <c r="BA31" s="67">
        <f>BA29+BA30</f>
        <v/>
      </c>
      <c r="BB31" s="67">
        <f>BB29+BB30</f>
        <v/>
      </c>
      <c r="BC31" s="67">
        <f>BC29+BC30</f>
        <v/>
      </c>
      <c r="BD31" s="67">
        <f>BD29+BD30</f>
        <v/>
      </c>
      <c r="BE31" s="67">
        <f>BE29+BE30</f>
        <v/>
      </c>
      <c r="BF31" s="67">
        <f>BF29+BF30</f>
        <v/>
      </c>
      <c r="BG31" s="67">
        <f>BG29+BG30</f>
        <v/>
      </c>
      <c r="BH31" s="67">
        <f>BH29+BH30</f>
        <v/>
      </c>
      <c r="BI31" s="67">
        <f>BI29+BI30</f>
        <v/>
      </c>
      <c r="BJ31" s="67">
        <f>BJ29+BJ30</f>
        <v/>
      </c>
    </row>
    <row r="32" ht="16" customHeight="1">
      <c r="A32" s="65" t="inlineStr">
        <is>
          <t>Cobb PS — Plant 1220 Laying (hens alive)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41">
        <f>IFERROR(ROUND(IFERROR(IF(AND(K$5&gt;=$H7,K$5&lt;=$I7,$D7&gt;0),$J7*(1-param_PS_LayMortWeekly)^INT((K$5-$H7)/7),0),0)+IFERROR(IF(AND(K$5&gt;=$H8,K$5&lt;=$I8,$D8&gt;0),$J8*(1-param_PS_LayMortWeekly)^INT((K$5-$H8)/7),0),0)+IFERROR(IF(AND(K$5&gt;=$H9,K$5&lt;=$I9,$D9&gt;0),$J9*(1-param_PS_LayMortWeekly)^INT((K$5-$H9)/7),0),0)+IFERROR(IF(AND(K$5&gt;=$H10,K$5&lt;=$I10,$D10&gt;0),$J10*(1-param_PS_LayMortWeekly)^INT((K$5-$H10)/7),0),0)+IFERROR(IF(AND(K$5&gt;=$H11,K$5&lt;=$I11,$D11&gt;0),$J11*(1-param_PS_LayMortWeekly)^INT((K$5-$H11)/7),0),0)+IFERROR(IF(AND(K$5&gt;=$H12,K$5&lt;=$I12,$D12&gt;0),$J12*(1-param_PS_LayMortWeekly)^INT((K$5-$H12)/7),0),0),0),0)</f>
        <v/>
      </c>
      <c r="L32" s="41">
        <f>IFERROR(ROUND(IFERROR(IF(AND(L$5&gt;=$H7,L$5&lt;=$I7,$D7&gt;0),$J7*(1-param_PS_LayMortWeekly)^INT((L$5-$H7)/7),0),0)+IFERROR(IF(AND(L$5&gt;=$H8,L$5&lt;=$I8,$D8&gt;0),$J8*(1-param_PS_LayMortWeekly)^INT((L$5-$H8)/7),0),0)+IFERROR(IF(AND(L$5&gt;=$H9,L$5&lt;=$I9,$D9&gt;0),$J9*(1-param_PS_LayMortWeekly)^INT((L$5-$H9)/7),0),0)+IFERROR(IF(AND(L$5&gt;=$H10,L$5&lt;=$I10,$D10&gt;0),$J10*(1-param_PS_LayMortWeekly)^INT((L$5-$H10)/7),0),0)+IFERROR(IF(AND(L$5&gt;=$H11,L$5&lt;=$I11,$D11&gt;0),$J11*(1-param_PS_LayMortWeekly)^INT((L$5-$H11)/7),0),0)+IFERROR(IF(AND(L$5&gt;=$H12,L$5&lt;=$I12,$D12&gt;0),$J12*(1-param_PS_LayMortWeekly)^INT((L$5-$H12)/7),0),0),0),0)</f>
        <v/>
      </c>
      <c r="M32" s="41">
        <f>IFERROR(ROUND(IFERROR(IF(AND(M$5&gt;=$H7,M$5&lt;=$I7,$D7&gt;0),$J7*(1-param_PS_LayMortWeekly)^INT((M$5-$H7)/7),0),0)+IFERROR(IF(AND(M$5&gt;=$H8,M$5&lt;=$I8,$D8&gt;0),$J8*(1-param_PS_LayMortWeekly)^INT((M$5-$H8)/7),0),0)+IFERROR(IF(AND(M$5&gt;=$H9,M$5&lt;=$I9,$D9&gt;0),$J9*(1-param_PS_LayMortWeekly)^INT((M$5-$H9)/7),0),0)+IFERROR(IF(AND(M$5&gt;=$H10,M$5&lt;=$I10,$D10&gt;0),$J10*(1-param_PS_LayMortWeekly)^INT((M$5-$H10)/7),0),0)+IFERROR(IF(AND(M$5&gt;=$H11,M$5&lt;=$I11,$D11&gt;0),$J11*(1-param_PS_LayMortWeekly)^INT((M$5-$H11)/7),0),0)+IFERROR(IF(AND(M$5&gt;=$H12,M$5&lt;=$I12,$D12&gt;0),$J12*(1-param_PS_LayMortWeekly)^INT((M$5-$H12)/7),0),0),0),0)</f>
        <v/>
      </c>
      <c r="N32" s="41">
        <f>IFERROR(ROUND(IFERROR(IF(AND(N$5&gt;=$H7,N$5&lt;=$I7,$D7&gt;0),$J7*(1-param_PS_LayMortWeekly)^INT((N$5-$H7)/7),0),0)+IFERROR(IF(AND(N$5&gt;=$H8,N$5&lt;=$I8,$D8&gt;0),$J8*(1-param_PS_LayMortWeekly)^INT((N$5-$H8)/7),0),0)+IFERROR(IF(AND(N$5&gt;=$H9,N$5&lt;=$I9,$D9&gt;0),$J9*(1-param_PS_LayMortWeekly)^INT((N$5-$H9)/7),0),0)+IFERROR(IF(AND(N$5&gt;=$H10,N$5&lt;=$I10,$D10&gt;0),$J10*(1-param_PS_LayMortWeekly)^INT((N$5-$H10)/7),0),0)+IFERROR(IF(AND(N$5&gt;=$H11,N$5&lt;=$I11,$D11&gt;0),$J11*(1-param_PS_LayMortWeekly)^INT((N$5-$H11)/7),0),0)+IFERROR(IF(AND(N$5&gt;=$H12,N$5&lt;=$I12,$D12&gt;0),$J12*(1-param_PS_LayMortWeekly)^INT((N$5-$H12)/7),0),0),0),0)</f>
        <v/>
      </c>
      <c r="O32" s="41">
        <f>IFERROR(ROUND(IFERROR(IF(AND(O$5&gt;=$H7,O$5&lt;=$I7,$D7&gt;0),$J7*(1-param_PS_LayMortWeekly)^INT((O$5-$H7)/7),0),0)+IFERROR(IF(AND(O$5&gt;=$H8,O$5&lt;=$I8,$D8&gt;0),$J8*(1-param_PS_LayMortWeekly)^INT((O$5-$H8)/7),0),0)+IFERROR(IF(AND(O$5&gt;=$H9,O$5&lt;=$I9,$D9&gt;0),$J9*(1-param_PS_LayMortWeekly)^INT((O$5-$H9)/7),0),0)+IFERROR(IF(AND(O$5&gt;=$H10,O$5&lt;=$I10,$D10&gt;0),$J10*(1-param_PS_LayMortWeekly)^INT((O$5-$H10)/7),0),0)+IFERROR(IF(AND(O$5&gt;=$H11,O$5&lt;=$I11,$D11&gt;0),$J11*(1-param_PS_LayMortWeekly)^INT((O$5-$H11)/7),0),0)+IFERROR(IF(AND(O$5&gt;=$H12,O$5&lt;=$I12,$D12&gt;0),$J12*(1-param_PS_LayMortWeekly)^INT((O$5-$H12)/7),0),0),0),0)</f>
        <v/>
      </c>
      <c r="P32" s="41">
        <f>IFERROR(ROUND(IFERROR(IF(AND(P$5&gt;=$H7,P$5&lt;=$I7,$D7&gt;0),$J7*(1-param_PS_LayMortWeekly)^INT((P$5-$H7)/7),0),0)+IFERROR(IF(AND(P$5&gt;=$H8,P$5&lt;=$I8,$D8&gt;0),$J8*(1-param_PS_LayMortWeekly)^INT((P$5-$H8)/7),0),0)+IFERROR(IF(AND(P$5&gt;=$H9,P$5&lt;=$I9,$D9&gt;0),$J9*(1-param_PS_LayMortWeekly)^INT((P$5-$H9)/7),0),0)+IFERROR(IF(AND(P$5&gt;=$H10,P$5&lt;=$I10,$D10&gt;0),$J10*(1-param_PS_LayMortWeekly)^INT((P$5-$H10)/7),0),0)+IFERROR(IF(AND(P$5&gt;=$H11,P$5&lt;=$I11,$D11&gt;0),$J11*(1-param_PS_LayMortWeekly)^INT((P$5-$H11)/7),0),0)+IFERROR(IF(AND(P$5&gt;=$H12,P$5&lt;=$I12,$D12&gt;0),$J12*(1-param_PS_LayMortWeekly)^INT((P$5-$H12)/7),0),0),0),0)</f>
        <v/>
      </c>
      <c r="Q32" s="41">
        <f>IFERROR(ROUND(IFERROR(IF(AND(Q$5&gt;=$H7,Q$5&lt;=$I7,$D7&gt;0),$J7*(1-param_PS_LayMortWeekly)^INT((Q$5-$H7)/7),0),0)+IFERROR(IF(AND(Q$5&gt;=$H8,Q$5&lt;=$I8,$D8&gt;0),$J8*(1-param_PS_LayMortWeekly)^INT((Q$5-$H8)/7),0),0)+IFERROR(IF(AND(Q$5&gt;=$H9,Q$5&lt;=$I9,$D9&gt;0),$J9*(1-param_PS_LayMortWeekly)^INT((Q$5-$H9)/7),0),0)+IFERROR(IF(AND(Q$5&gt;=$H10,Q$5&lt;=$I10,$D10&gt;0),$J10*(1-param_PS_LayMortWeekly)^INT((Q$5-$H10)/7),0),0)+IFERROR(IF(AND(Q$5&gt;=$H11,Q$5&lt;=$I11,$D11&gt;0),$J11*(1-param_PS_LayMortWeekly)^INT((Q$5-$H11)/7),0),0)+IFERROR(IF(AND(Q$5&gt;=$H12,Q$5&lt;=$I12,$D12&gt;0),$J12*(1-param_PS_LayMortWeekly)^INT((Q$5-$H12)/7),0),0),0),0)</f>
        <v/>
      </c>
      <c r="R32" s="41">
        <f>IFERROR(ROUND(IFERROR(IF(AND(R$5&gt;=$H7,R$5&lt;=$I7,$D7&gt;0),$J7*(1-param_PS_LayMortWeekly)^INT((R$5-$H7)/7),0),0)+IFERROR(IF(AND(R$5&gt;=$H8,R$5&lt;=$I8,$D8&gt;0),$J8*(1-param_PS_LayMortWeekly)^INT((R$5-$H8)/7),0),0)+IFERROR(IF(AND(R$5&gt;=$H9,R$5&lt;=$I9,$D9&gt;0),$J9*(1-param_PS_LayMortWeekly)^INT((R$5-$H9)/7),0),0)+IFERROR(IF(AND(R$5&gt;=$H10,R$5&lt;=$I10,$D10&gt;0),$J10*(1-param_PS_LayMortWeekly)^INT((R$5-$H10)/7),0),0)+IFERROR(IF(AND(R$5&gt;=$H11,R$5&lt;=$I11,$D11&gt;0),$J11*(1-param_PS_LayMortWeekly)^INT((R$5-$H11)/7),0),0)+IFERROR(IF(AND(R$5&gt;=$H12,R$5&lt;=$I12,$D12&gt;0),$J12*(1-param_PS_LayMortWeekly)^INT((R$5-$H12)/7),0),0),0),0)</f>
        <v/>
      </c>
      <c r="S32" s="41">
        <f>IFERROR(ROUND(IFERROR(IF(AND(S$5&gt;=$H7,S$5&lt;=$I7,$D7&gt;0),$J7*(1-param_PS_LayMortWeekly)^INT((S$5-$H7)/7),0),0)+IFERROR(IF(AND(S$5&gt;=$H8,S$5&lt;=$I8,$D8&gt;0),$J8*(1-param_PS_LayMortWeekly)^INT((S$5-$H8)/7),0),0)+IFERROR(IF(AND(S$5&gt;=$H9,S$5&lt;=$I9,$D9&gt;0),$J9*(1-param_PS_LayMortWeekly)^INT((S$5-$H9)/7),0),0)+IFERROR(IF(AND(S$5&gt;=$H10,S$5&lt;=$I10,$D10&gt;0),$J10*(1-param_PS_LayMortWeekly)^INT((S$5-$H10)/7),0),0)+IFERROR(IF(AND(S$5&gt;=$H11,S$5&lt;=$I11,$D11&gt;0),$J11*(1-param_PS_LayMortWeekly)^INT((S$5-$H11)/7),0),0)+IFERROR(IF(AND(S$5&gt;=$H12,S$5&lt;=$I12,$D12&gt;0),$J12*(1-param_PS_LayMortWeekly)^INT((S$5-$H12)/7),0),0),0),0)</f>
        <v/>
      </c>
      <c r="T32" s="41">
        <f>IFERROR(ROUND(IFERROR(IF(AND(T$5&gt;=$H7,T$5&lt;=$I7,$D7&gt;0),$J7*(1-param_PS_LayMortWeekly)^INT((T$5-$H7)/7),0),0)+IFERROR(IF(AND(T$5&gt;=$H8,T$5&lt;=$I8,$D8&gt;0),$J8*(1-param_PS_LayMortWeekly)^INT((T$5-$H8)/7),0),0)+IFERROR(IF(AND(T$5&gt;=$H9,T$5&lt;=$I9,$D9&gt;0),$J9*(1-param_PS_LayMortWeekly)^INT((T$5-$H9)/7),0),0)+IFERROR(IF(AND(T$5&gt;=$H10,T$5&lt;=$I10,$D10&gt;0),$J10*(1-param_PS_LayMortWeekly)^INT((T$5-$H10)/7),0),0)+IFERROR(IF(AND(T$5&gt;=$H11,T$5&lt;=$I11,$D11&gt;0),$J11*(1-param_PS_LayMortWeekly)^INT((T$5-$H11)/7),0),0)+IFERROR(IF(AND(T$5&gt;=$H12,T$5&lt;=$I12,$D12&gt;0),$J12*(1-param_PS_LayMortWeekly)^INT((T$5-$H12)/7),0),0),0),0)</f>
        <v/>
      </c>
      <c r="U32" s="41">
        <f>IFERROR(ROUND(IFERROR(IF(AND(U$5&gt;=$H7,U$5&lt;=$I7,$D7&gt;0),$J7*(1-param_PS_LayMortWeekly)^INT((U$5-$H7)/7),0),0)+IFERROR(IF(AND(U$5&gt;=$H8,U$5&lt;=$I8,$D8&gt;0),$J8*(1-param_PS_LayMortWeekly)^INT((U$5-$H8)/7),0),0)+IFERROR(IF(AND(U$5&gt;=$H9,U$5&lt;=$I9,$D9&gt;0),$J9*(1-param_PS_LayMortWeekly)^INT((U$5-$H9)/7),0),0)+IFERROR(IF(AND(U$5&gt;=$H10,U$5&lt;=$I10,$D10&gt;0),$J10*(1-param_PS_LayMortWeekly)^INT((U$5-$H10)/7),0),0)+IFERROR(IF(AND(U$5&gt;=$H11,U$5&lt;=$I11,$D11&gt;0),$J11*(1-param_PS_LayMortWeekly)^INT((U$5-$H11)/7),0),0)+IFERROR(IF(AND(U$5&gt;=$H12,U$5&lt;=$I12,$D12&gt;0),$J12*(1-param_PS_LayMortWeekly)^INT((U$5-$H12)/7),0),0),0),0)</f>
        <v/>
      </c>
      <c r="V32" s="41">
        <f>IFERROR(ROUND(IFERROR(IF(AND(V$5&gt;=$H7,V$5&lt;=$I7,$D7&gt;0),$J7*(1-param_PS_LayMortWeekly)^INT((V$5-$H7)/7),0),0)+IFERROR(IF(AND(V$5&gt;=$H8,V$5&lt;=$I8,$D8&gt;0),$J8*(1-param_PS_LayMortWeekly)^INT((V$5-$H8)/7),0),0)+IFERROR(IF(AND(V$5&gt;=$H9,V$5&lt;=$I9,$D9&gt;0),$J9*(1-param_PS_LayMortWeekly)^INT((V$5-$H9)/7),0),0)+IFERROR(IF(AND(V$5&gt;=$H10,V$5&lt;=$I10,$D10&gt;0),$J10*(1-param_PS_LayMortWeekly)^INT((V$5-$H10)/7),0),0)+IFERROR(IF(AND(V$5&gt;=$H11,V$5&lt;=$I11,$D11&gt;0),$J11*(1-param_PS_LayMortWeekly)^INT((V$5-$H11)/7),0),0)+IFERROR(IF(AND(V$5&gt;=$H12,V$5&lt;=$I12,$D12&gt;0),$J12*(1-param_PS_LayMortWeekly)^INT((V$5-$H12)/7),0),0),0),0)</f>
        <v/>
      </c>
      <c r="W32" s="41">
        <f>IFERROR(ROUND(IFERROR(IF(AND(W$5&gt;=$H7,W$5&lt;=$I7,$D7&gt;0),$J7*(1-param_PS_LayMortWeekly)^INT((W$5-$H7)/7),0),0)+IFERROR(IF(AND(W$5&gt;=$H8,W$5&lt;=$I8,$D8&gt;0),$J8*(1-param_PS_LayMortWeekly)^INT((W$5-$H8)/7),0),0)+IFERROR(IF(AND(W$5&gt;=$H9,W$5&lt;=$I9,$D9&gt;0),$J9*(1-param_PS_LayMortWeekly)^INT((W$5-$H9)/7),0),0)+IFERROR(IF(AND(W$5&gt;=$H10,W$5&lt;=$I10,$D10&gt;0),$J10*(1-param_PS_LayMortWeekly)^INT((W$5-$H10)/7),0),0)+IFERROR(IF(AND(W$5&gt;=$H11,W$5&lt;=$I11,$D11&gt;0),$J11*(1-param_PS_LayMortWeekly)^INT((W$5-$H11)/7),0),0)+IFERROR(IF(AND(W$5&gt;=$H12,W$5&lt;=$I12,$D12&gt;0),$J12*(1-param_PS_LayMortWeekly)^INT((W$5-$H12)/7),0),0),0),0)</f>
        <v/>
      </c>
      <c r="X32" s="41">
        <f>IFERROR(ROUND(IFERROR(IF(AND(X$5&gt;=$H7,X$5&lt;=$I7,$D7&gt;0),$J7*(1-param_PS_LayMortWeekly)^INT((X$5-$H7)/7),0),0)+IFERROR(IF(AND(X$5&gt;=$H8,X$5&lt;=$I8,$D8&gt;0),$J8*(1-param_PS_LayMortWeekly)^INT((X$5-$H8)/7),0),0)+IFERROR(IF(AND(X$5&gt;=$H9,X$5&lt;=$I9,$D9&gt;0),$J9*(1-param_PS_LayMortWeekly)^INT((X$5-$H9)/7),0),0)+IFERROR(IF(AND(X$5&gt;=$H10,X$5&lt;=$I10,$D10&gt;0),$J10*(1-param_PS_LayMortWeekly)^INT((X$5-$H10)/7),0),0)+IFERROR(IF(AND(X$5&gt;=$H11,X$5&lt;=$I11,$D11&gt;0),$J11*(1-param_PS_LayMortWeekly)^INT((X$5-$H11)/7),0),0)+IFERROR(IF(AND(X$5&gt;=$H12,X$5&lt;=$I12,$D12&gt;0),$J12*(1-param_PS_LayMortWeekly)^INT((X$5-$H12)/7),0),0),0),0)</f>
        <v/>
      </c>
      <c r="Y32" s="41">
        <f>IFERROR(ROUND(IFERROR(IF(AND(Y$5&gt;=$H7,Y$5&lt;=$I7,$D7&gt;0),$J7*(1-param_PS_LayMortWeekly)^INT((Y$5-$H7)/7),0),0)+IFERROR(IF(AND(Y$5&gt;=$H8,Y$5&lt;=$I8,$D8&gt;0),$J8*(1-param_PS_LayMortWeekly)^INT((Y$5-$H8)/7),0),0)+IFERROR(IF(AND(Y$5&gt;=$H9,Y$5&lt;=$I9,$D9&gt;0),$J9*(1-param_PS_LayMortWeekly)^INT((Y$5-$H9)/7),0),0)+IFERROR(IF(AND(Y$5&gt;=$H10,Y$5&lt;=$I10,$D10&gt;0),$J10*(1-param_PS_LayMortWeekly)^INT((Y$5-$H10)/7),0),0)+IFERROR(IF(AND(Y$5&gt;=$H11,Y$5&lt;=$I11,$D11&gt;0),$J11*(1-param_PS_LayMortWeekly)^INT((Y$5-$H11)/7),0),0)+IFERROR(IF(AND(Y$5&gt;=$H12,Y$5&lt;=$I12,$D12&gt;0),$J12*(1-param_PS_LayMortWeekly)^INT((Y$5-$H12)/7),0),0),0),0)</f>
        <v/>
      </c>
      <c r="Z32" s="41">
        <f>IFERROR(ROUND(IFERROR(IF(AND(Z$5&gt;=$H7,Z$5&lt;=$I7,$D7&gt;0),$J7*(1-param_PS_LayMortWeekly)^INT((Z$5-$H7)/7),0),0)+IFERROR(IF(AND(Z$5&gt;=$H8,Z$5&lt;=$I8,$D8&gt;0),$J8*(1-param_PS_LayMortWeekly)^INT((Z$5-$H8)/7),0),0)+IFERROR(IF(AND(Z$5&gt;=$H9,Z$5&lt;=$I9,$D9&gt;0),$J9*(1-param_PS_LayMortWeekly)^INT((Z$5-$H9)/7),0),0)+IFERROR(IF(AND(Z$5&gt;=$H10,Z$5&lt;=$I10,$D10&gt;0),$J10*(1-param_PS_LayMortWeekly)^INT((Z$5-$H10)/7),0),0)+IFERROR(IF(AND(Z$5&gt;=$H11,Z$5&lt;=$I11,$D11&gt;0),$J11*(1-param_PS_LayMortWeekly)^INT((Z$5-$H11)/7),0),0)+IFERROR(IF(AND(Z$5&gt;=$H12,Z$5&lt;=$I12,$D12&gt;0),$J12*(1-param_PS_LayMortWeekly)^INT((Z$5-$H12)/7),0),0),0),0)</f>
        <v/>
      </c>
      <c r="AA32" s="41">
        <f>IFERROR(ROUND(IFERROR(IF(AND(AA$5&gt;=$H7,AA$5&lt;=$I7,$D7&gt;0),$J7*(1-param_PS_LayMortWeekly)^INT((AA$5-$H7)/7),0),0)+IFERROR(IF(AND(AA$5&gt;=$H8,AA$5&lt;=$I8,$D8&gt;0),$J8*(1-param_PS_LayMortWeekly)^INT((AA$5-$H8)/7),0),0)+IFERROR(IF(AND(AA$5&gt;=$H9,AA$5&lt;=$I9,$D9&gt;0),$J9*(1-param_PS_LayMortWeekly)^INT((AA$5-$H9)/7),0),0)+IFERROR(IF(AND(AA$5&gt;=$H10,AA$5&lt;=$I10,$D10&gt;0),$J10*(1-param_PS_LayMortWeekly)^INT((AA$5-$H10)/7),0),0)+IFERROR(IF(AND(AA$5&gt;=$H11,AA$5&lt;=$I11,$D11&gt;0),$J11*(1-param_PS_LayMortWeekly)^INT((AA$5-$H11)/7),0),0)+IFERROR(IF(AND(AA$5&gt;=$H12,AA$5&lt;=$I12,$D12&gt;0),$J12*(1-param_PS_LayMortWeekly)^INT((AA$5-$H12)/7),0),0),0),0)</f>
        <v/>
      </c>
      <c r="AB32" s="41">
        <f>IFERROR(ROUND(IFERROR(IF(AND(AB$5&gt;=$H7,AB$5&lt;=$I7,$D7&gt;0),$J7*(1-param_PS_LayMortWeekly)^INT((AB$5-$H7)/7),0),0)+IFERROR(IF(AND(AB$5&gt;=$H8,AB$5&lt;=$I8,$D8&gt;0),$J8*(1-param_PS_LayMortWeekly)^INT((AB$5-$H8)/7),0),0)+IFERROR(IF(AND(AB$5&gt;=$H9,AB$5&lt;=$I9,$D9&gt;0),$J9*(1-param_PS_LayMortWeekly)^INT((AB$5-$H9)/7),0),0)+IFERROR(IF(AND(AB$5&gt;=$H10,AB$5&lt;=$I10,$D10&gt;0),$J10*(1-param_PS_LayMortWeekly)^INT((AB$5-$H10)/7),0),0)+IFERROR(IF(AND(AB$5&gt;=$H11,AB$5&lt;=$I11,$D11&gt;0),$J11*(1-param_PS_LayMortWeekly)^INT((AB$5-$H11)/7),0),0)+IFERROR(IF(AND(AB$5&gt;=$H12,AB$5&lt;=$I12,$D12&gt;0),$J12*(1-param_PS_LayMortWeekly)^INT((AB$5-$H12)/7),0),0),0),0)</f>
        <v/>
      </c>
      <c r="AC32" s="41">
        <f>IFERROR(ROUND(IFERROR(IF(AND(AC$5&gt;=$H7,AC$5&lt;=$I7,$D7&gt;0),$J7*(1-param_PS_LayMortWeekly)^INT((AC$5-$H7)/7),0),0)+IFERROR(IF(AND(AC$5&gt;=$H8,AC$5&lt;=$I8,$D8&gt;0),$J8*(1-param_PS_LayMortWeekly)^INT((AC$5-$H8)/7),0),0)+IFERROR(IF(AND(AC$5&gt;=$H9,AC$5&lt;=$I9,$D9&gt;0),$J9*(1-param_PS_LayMortWeekly)^INT((AC$5-$H9)/7),0),0)+IFERROR(IF(AND(AC$5&gt;=$H10,AC$5&lt;=$I10,$D10&gt;0),$J10*(1-param_PS_LayMortWeekly)^INT((AC$5-$H10)/7),0),0)+IFERROR(IF(AND(AC$5&gt;=$H11,AC$5&lt;=$I11,$D11&gt;0),$J11*(1-param_PS_LayMortWeekly)^INT((AC$5-$H11)/7),0),0)+IFERROR(IF(AND(AC$5&gt;=$H12,AC$5&lt;=$I12,$D12&gt;0),$J12*(1-param_PS_LayMortWeekly)^INT((AC$5-$H12)/7),0),0),0),0)</f>
        <v/>
      </c>
      <c r="AD32" s="41">
        <f>IFERROR(ROUND(IFERROR(IF(AND(AD$5&gt;=$H7,AD$5&lt;=$I7,$D7&gt;0),$J7*(1-param_PS_LayMortWeekly)^INT((AD$5-$H7)/7),0),0)+IFERROR(IF(AND(AD$5&gt;=$H8,AD$5&lt;=$I8,$D8&gt;0),$J8*(1-param_PS_LayMortWeekly)^INT((AD$5-$H8)/7),0),0)+IFERROR(IF(AND(AD$5&gt;=$H9,AD$5&lt;=$I9,$D9&gt;0),$J9*(1-param_PS_LayMortWeekly)^INT((AD$5-$H9)/7),0),0)+IFERROR(IF(AND(AD$5&gt;=$H10,AD$5&lt;=$I10,$D10&gt;0),$J10*(1-param_PS_LayMortWeekly)^INT((AD$5-$H10)/7),0),0)+IFERROR(IF(AND(AD$5&gt;=$H11,AD$5&lt;=$I11,$D11&gt;0),$J11*(1-param_PS_LayMortWeekly)^INT((AD$5-$H11)/7),0),0)+IFERROR(IF(AND(AD$5&gt;=$H12,AD$5&lt;=$I12,$D12&gt;0),$J12*(1-param_PS_LayMortWeekly)^INT((AD$5-$H12)/7),0),0),0),0)</f>
        <v/>
      </c>
      <c r="AE32" s="41">
        <f>IFERROR(ROUND(IFERROR(IF(AND(AE$5&gt;=$H7,AE$5&lt;=$I7,$D7&gt;0),$J7*(1-param_PS_LayMortWeekly)^INT((AE$5-$H7)/7),0),0)+IFERROR(IF(AND(AE$5&gt;=$H8,AE$5&lt;=$I8,$D8&gt;0),$J8*(1-param_PS_LayMortWeekly)^INT((AE$5-$H8)/7),0),0)+IFERROR(IF(AND(AE$5&gt;=$H9,AE$5&lt;=$I9,$D9&gt;0),$J9*(1-param_PS_LayMortWeekly)^INT((AE$5-$H9)/7),0),0)+IFERROR(IF(AND(AE$5&gt;=$H10,AE$5&lt;=$I10,$D10&gt;0),$J10*(1-param_PS_LayMortWeekly)^INT((AE$5-$H10)/7),0),0)+IFERROR(IF(AND(AE$5&gt;=$H11,AE$5&lt;=$I11,$D11&gt;0),$J11*(1-param_PS_LayMortWeekly)^INT((AE$5-$H11)/7),0),0)+IFERROR(IF(AND(AE$5&gt;=$H12,AE$5&lt;=$I12,$D12&gt;0),$J12*(1-param_PS_LayMortWeekly)^INT((AE$5-$H12)/7),0),0),0),0)</f>
        <v/>
      </c>
      <c r="AF32" s="41">
        <f>IFERROR(ROUND(IFERROR(IF(AND(AF$5&gt;=$H7,AF$5&lt;=$I7,$D7&gt;0),$J7*(1-param_PS_LayMortWeekly)^INT((AF$5-$H7)/7),0),0)+IFERROR(IF(AND(AF$5&gt;=$H8,AF$5&lt;=$I8,$D8&gt;0),$J8*(1-param_PS_LayMortWeekly)^INT((AF$5-$H8)/7),0),0)+IFERROR(IF(AND(AF$5&gt;=$H9,AF$5&lt;=$I9,$D9&gt;0),$J9*(1-param_PS_LayMortWeekly)^INT((AF$5-$H9)/7),0),0)+IFERROR(IF(AND(AF$5&gt;=$H10,AF$5&lt;=$I10,$D10&gt;0),$J10*(1-param_PS_LayMortWeekly)^INT((AF$5-$H10)/7),0),0)+IFERROR(IF(AND(AF$5&gt;=$H11,AF$5&lt;=$I11,$D11&gt;0),$J11*(1-param_PS_LayMortWeekly)^INT((AF$5-$H11)/7),0),0)+IFERROR(IF(AND(AF$5&gt;=$H12,AF$5&lt;=$I12,$D12&gt;0),$J12*(1-param_PS_LayMortWeekly)^INT((AF$5-$H12)/7),0),0),0),0)</f>
        <v/>
      </c>
      <c r="AG32" s="41">
        <f>IFERROR(ROUND(IFERROR(IF(AND(AG$5&gt;=$H7,AG$5&lt;=$I7,$D7&gt;0),$J7*(1-param_PS_LayMortWeekly)^INT((AG$5-$H7)/7),0),0)+IFERROR(IF(AND(AG$5&gt;=$H8,AG$5&lt;=$I8,$D8&gt;0),$J8*(1-param_PS_LayMortWeekly)^INT((AG$5-$H8)/7),0),0)+IFERROR(IF(AND(AG$5&gt;=$H9,AG$5&lt;=$I9,$D9&gt;0),$J9*(1-param_PS_LayMortWeekly)^INT((AG$5-$H9)/7),0),0)+IFERROR(IF(AND(AG$5&gt;=$H10,AG$5&lt;=$I10,$D10&gt;0),$J10*(1-param_PS_LayMortWeekly)^INT((AG$5-$H10)/7),0),0)+IFERROR(IF(AND(AG$5&gt;=$H11,AG$5&lt;=$I11,$D11&gt;0),$J11*(1-param_PS_LayMortWeekly)^INT((AG$5-$H11)/7),0),0)+IFERROR(IF(AND(AG$5&gt;=$H12,AG$5&lt;=$I12,$D12&gt;0),$J12*(1-param_PS_LayMortWeekly)^INT((AG$5-$H12)/7),0),0),0),0)</f>
        <v/>
      </c>
      <c r="AH32" s="41">
        <f>IFERROR(ROUND(IFERROR(IF(AND(AH$5&gt;=$H7,AH$5&lt;=$I7,$D7&gt;0),$J7*(1-param_PS_LayMortWeekly)^INT((AH$5-$H7)/7),0),0)+IFERROR(IF(AND(AH$5&gt;=$H8,AH$5&lt;=$I8,$D8&gt;0),$J8*(1-param_PS_LayMortWeekly)^INT((AH$5-$H8)/7),0),0)+IFERROR(IF(AND(AH$5&gt;=$H9,AH$5&lt;=$I9,$D9&gt;0),$J9*(1-param_PS_LayMortWeekly)^INT((AH$5-$H9)/7),0),0)+IFERROR(IF(AND(AH$5&gt;=$H10,AH$5&lt;=$I10,$D10&gt;0),$J10*(1-param_PS_LayMortWeekly)^INT((AH$5-$H10)/7),0),0)+IFERROR(IF(AND(AH$5&gt;=$H11,AH$5&lt;=$I11,$D11&gt;0),$J11*(1-param_PS_LayMortWeekly)^INT((AH$5-$H11)/7),0),0)+IFERROR(IF(AND(AH$5&gt;=$H12,AH$5&lt;=$I12,$D12&gt;0),$J12*(1-param_PS_LayMortWeekly)^INT((AH$5-$H12)/7),0),0),0),0)</f>
        <v/>
      </c>
      <c r="AI32" s="41">
        <f>IFERROR(ROUND(IFERROR(IF(AND(AI$5&gt;=$H7,AI$5&lt;=$I7,$D7&gt;0),$J7*(1-param_PS_LayMortWeekly)^INT((AI$5-$H7)/7),0),0)+IFERROR(IF(AND(AI$5&gt;=$H8,AI$5&lt;=$I8,$D8&gt;0),$J8*(1-param_PS_LayMortWeekly)^INT((AI$5-$H8)/7),0),0)+IFERROR(IF(AND(AI$5&gt;=$H9,AI$5&lt;=$I9,$D9&gt;0),$J9*(1-param_PS_LayMortWeekly)^INT((AI$5-$H9)/7),0),0)+IFERROR(IF(AND(AI$5&gt;=$H10,AI$5&lt;=$I10,$D10&gt;0),$J10*(1-param_PS_LayMortWeekly)^INT((AI$5-$H10)/7),0),0)+IFERROR(IF(AND(AI$5&gt;=$H11,AI$5&lt;=$I11,$D11&gt;0),$J11*(1-param_PS_LayMortWeekly)^INT((AI$5-$H11)/7),0),0)+IFERROR(IF(AND(AI$5&gt;=$H12,AI$5&lt;=$I12,$D12&gt;0),$J12*(1-param_PS_LayMortWeekly)^INT((AI$5-$H12)/7),0),0),0),0)</f>
        <v/>
      </c>
      <c r="AJ32" s="41">
        <f>IFERROR(ROUND(IFERROR(IF(AND(AJ$5&gt;=$H7,AJ$5&lt;=$I7,$D7&gt;0),$J7*(1-param_PS_LayMortWeekly)^INT((AJ$5-$H7)/7),0),0)+IFERROR(IF(AND(AJ$5&gt;=$H8,AJ$5&lt;=$I8,$D8&gt;0),$J8*(1-param_PS_LayMortWeekly)^INT((AJ$5-$H8)/7),0),0)+IFERROR(IF(AND(AJ$5&gt;=$H9,AJ$5&lt;=$I9,$D9&gt;0),$J9*(1-param_PS_LayMortWeekly)^INT((AJ$5-$H9)/7),0),0)+IFERROR(IF(AND(AJ$5&gt;=$H10,AJ$5&lt;=$I10,$D10&gt;0),$J10*(1-param_PS_LayMortWeekly)^INT((AJ$5-$H10)/7),0),0)+IFERROR(IF(AND(AJ$5&gt;=$H11,AJ$5&lt;=$I11,$D11&gt;0),$J11*(1-param_PS_LayMortWeekly)^INT((AJ$5-$H11)/7),0),0)+IFERROR(IF(AND(AJ$5&gt;=$H12,AJ$5&lt;=$I12,$D12&gt;0),$J12*(1-param_PS_LayMortWeekly)^INT((AJ$5-$H12)/7),0),0),0),0)</f>
        <v/>
      </c>
      <c r="AK32" s="41">
        <f>IFERROR(ROUND(IFERROR(IF(AND(AK$5&gt;=$H7,AK$5&lt;=$I7,$D7&gt;0),$J7*(1-param_PS_LayMortWeekly)^INT((AK$5-$H7)/7),0),0)+IFERROR(IF(AND(AK$5&gt;=$H8,AK$5&lt;=$I8,$D8&gt;0),$J8*(1-param_PS_LayMortWeekly)^INT((AK$5-$H8)/7),0),0)+IFERROR(IF(AND(AK$5&gt;=$H9,AK$5&lt;=$I9,$D9&gt;0),$J9*(1-param_PS_LayMortWeekly)^INT((AK$5-$H9)/7),0),0)+IFERROR(IF(AND(AK$5&gt;=$H10,AK$5&lt;=$I10,$D10&gt;0),$J10*(1-param_PS_LayMortWeekly)^INT((AK$5-$H10)/7),0),0)+IFERROR(IF(AND(AK$5&gt;=$H11,AK$5&lt;=$I11,$D11&gt;0),$J11*(1-param_PS_LayMortWeekly)^INT((AK$5-$H11)/7),0),0)+IFERROR(IF(AND(AK$5&gt;=$H12,AK$5&lt;=$I12,$D12&gt;0),$J12*(1-param_PS_LayMortWeekly)^INT((AK$5-$H12)/7),0),0),0),0)</f>
        <v/>
      </c>
      <c r="AL32" s="41">
        <f>IFERROR(ROUND(IFERROR(IF(AND(AL$5&gt;=$H7,AL$5&lt;=$I7,$D7&gt;0),$J7*(1-param_PS_LayMortWeekly)^INT((AL$5-$H7)/7),0),0)+IFERROR(IF(AND(AL$5&gt;=$H8,AL$5&lt;=$I8,$D8&gt;0),$J8*(1-param_PS_LayMortWeekly)^INT((AL$5-$H8)/7),0),0)+IFERROR(IF(AND(AL$5&gt;=$H9,AL$5&lt;=$I9,$D9&gt;0),$J9*(1-param_PS_LayMortWeekly)^INT((AL$5-$H9)/7),0),0)+IFERROR(IF(AND(AL$5&gt;=$H10,AL$5&lt;=$I10,$D10&gt;0),$J10*(1-param_PS_LayMortWeekly)^INT((AL$5-$H10)/7),0),0)+IFERROR(IF(AND(AL$5&gt;=$H11,AL$5&lt;=$I11,$D11&gt;0),$J11*(1-param_PS_LayMortWeekly)^INT((AL$5-$H11)/7),0),0)+IFERROR(IF(AND(AL$5&gt;=$H12,AL$5&lt;=$I12,$D12&gt;0),$J12*(1-param_PS_LayMortWeekly)^INT((AL$5-$H12)/7),0),0),0),0)</f>
        <v/>
      </c>
      <c r="AM32" s="41">
        <f>IFERROR(ROUND(IFERROR(IF(AND(AM$5&gt;=$H7,AM$5&lt;=$I7,$D7&gt;0),$J7*(1-param_PS_LayMortWeekly)^INT((AM$5-$H7)/7),0),0)+IFERROR(IF(AND(AM$5&gt;=$H8,AM$5&lt;=$I8,$D8&gt;0),$J8*(1-param_PS_LayMortWeekly)^INT((AM$5-$H8)/7),0),0)+IFERROR(IF(AND(AM$5&gt;=$H9,AM$5&lt;=$I9,$D9&gt;0),$J9*(1-param_PS_LayMortWeekly)^INT((AM$5-$H9)/7),0),0)+IFERROR(IF(AND(AM$5&gt;=$H10,AM$5&lt;=$I10,$D10&gt;0),$J10*(1-param_PS_LayMortWeekly)^INT((AM$5-$H10)/7),0),0)+IFERROR(IF(AND(AM$5&gt;=$H11,AM$5&lt;=$I11,$D11&gt;0),$J11*(1-param_PS_LayMortWeekly)^INT((AM$5-$H11)/7),0),0)+IFERROR(IF(AND(AM$5&gt;=$H12,AM$5&lt;=$I12,$D12&gt;0),$J12*(1-param_PS_LayMortWeekly)^INT((AM$5-$H12)/7),0),0),0),0)</f>
        <v/>
      </c>
      <c r="AN32" s="41">
        <f>IFERROR(ROUND(IFERROR(IF(AND(AN$5&gt;=$H7,AN$5&lt;=$I7,$D7&gt;0),$J7*(1-param_PS_LayMortWeekly)^INT((AN$5-$H7)/7),0),0)+IFERROR(IF(AND(AN$5&gt;=$H8,AN$5&lt;=$I8,$D8&gt;0),$J8*(1-param_PS_LayMortWeekly)^INT((AN$5-$H8)/7),0),0)+IFERROR(IF(AND(AN$5&gt;=$H9,AN$5&lt;=$I9,$D9&gt;0),$J9*(1-param_PS_LayMortWeekly)^INT((AN$5-$H9)/7),0),0)+IFERROR(IF(AND(AN$5&gt;=$H10,AN$5&lt;=$I10,$D10&gt;0),$J10*(1-param_PS_LayMortWeekly)^INT((AN$5-$H10)/7),0),0)+IFERROR(IF(AND(AN$5&gt;=$H11,AN$5&lt;=$I11,$D11&gt;0),$J11*(1-param_PS_LayMortWeekly)^INT((AN$5-$H11)/7),0),0)+IFERROR(IF(AND(AN$5&gt;=$H12,AN$5&lt;=$I12,$D12&gt;0),$J12*(1-param_PS_LayMortWeekly)^INT((AN$5-$H12)/7),0),0),0),0)</f>
        <v/>
      </c>
      <c r="AO32" s="41">
        <f>IFERROR(ROUND(IFERROR(IF(AND(AO$5&gt;=$H7,AO$5&lt;=$I7,$D7&gt;0),$J7*(1-param_PS_LayMortWeekly)^INT((AO$5-$H7)/7),0),0)+IFERROR(IF(AND(AO$5&gt;=$H8,AO$5&lt;=$I8,$D8&gt;0),$J8*(1-param_PS_LayMortWeekly)^INT((AO$5-$H8)/7),0),0)+IFERROR(IF(AND(AO$5&gt;=$H9,AO$5&lt;=$I9,$D9&gt;0),$J9*(1-param_PS_LayMortWeekly)^INT((AO$5-$H9)/7),0),0)+IFERROR(IF(AND(AO$5&gt;=$H10,AO$5&lt;=$I10,$D10&gt;0),$J10*(1-param_PS_LayMortWeekly)^INT((AO$5-$H10)/7),0),0)+IFERROR(IF(AND(AO$5&gt;=$H11,AO$5&lt;=$I11,$D11&gt;0),$J11*(1-param_PS_LayMortWeekly)^INT((AO$5-$H11)/7),0),0)+IFERROR(IF(AND(AO$5&gt;=$H12,AO$5&lt;=$I12,$D12&gt;0),$J12*(1-param_PS_LayMortWeekly)^INT((AO$5-$H12)/7),0),0),0),0)</f>
        <v/>
      </c>
      <c r="AP32" s="41">
        <f>IFERROR(ROUND(IFERROR(IF(AND(AP$5&gt;=$H7,AP$5&lt;=$I7,$D7&gt;0),$J7*(1-param_PS_LayMortWeekly)^INT((AP$5-$H7)/7),0),0)+IFERROR(IF(AND(AP$5&gt;=$H8,AP$5&lt;=$I8,$D8&gt;0),$J8*(1-param_PS_LayMortWeekly)^INT((AP$5-$H8)/7),0),0)+IFERROR(IF(AND(AP$5&gt;=$H9,AP$5&lt;=$I9,$D9&gt;0),$J9*(1-param_PS_LayMortWeekly)^INT((AP$5-$H9)/7),0),0)+IFERROR(IF(AND(AP$5&gt;=$H10,AP$5&lt;=$I10,$D10&gt;0),$J10*(1-param_PS_LayMortWeekly)^INT((AP$5-$H10)/7),0),0)+IFERROR(IF(AND(AP$5&gt;=$H11,AP$5&lt;=$I11,$D11&gt;0),$J11*(1-param_PS_LayMortWeekly)^INT((AP$5-$H11)/7),0),0)+IFERROR(IF(AND(AP$5&gt;=$H12,AP$5&lt;=$I12,$D12&gt;0),$J12*(1-param_PS_LayMortWeekly)^INT((AP$5-$H12)/7),0),0),0),0)</f>
        <v/>
      </c>
      <c r="AQ32" s="41">
        <f>IFERROR(ROUND(IFERROR(IF(AND(AQ$5&gt;=$H7,AQ$5&lt;=$I7,$D7&gt;0),$J7*(1-param_PS_LayMortWeekly)^INT((AQ$5-$H7)/7),0),0)+IFERROR(IF(AND(AQ$5&gt;=$H8,AQ$5&lt;=$I8,$D8&gt;0),$J8*(1-param_PS_LayMortWeekly)^INT((AQ$5-$H8)/7),0),0)+IFERROR(IF(AND(AQ$5&gt;=$H9,AQ$5&lt;=$I9,$D9&gt;0),$J9*(1-param_PS_LayMortWeekly)^INT((AQ$5-$H9)/7),0),0)+IFERROR(IF(AND(AQ$5&gt;=$H10,AQ$5&lt;=$I10,$D10&gt;0),$J10*(1-param_PS_LayMortWeekly)^INT((AQ$5-$H10)/7),0),0)+IFERROR(IF(AND(AQ$5&gt;=$H11,AQ$5&lt;=$I11,$D11&gt;0),$J11*(1-param_PS_LayMortWeekly)^INT((AQ$5-$H11)/7),0),0)+IFERROR(IF(AND(AQ$5&gt;=$H12,AQ$5&lt;=$I12,$D12&gt;0),$J12*(1-param_PS_LayMortWeekly)^INT((AQ$5-$H12)/7),0),0),0),0)</f>
        <v/>
      </c>
      <c r="AR32" s="41">
        <f>IFERROR(ROUND(IFERROR(IF(AND(AR$5&gt;=$H7,AR$5&lt;=$I7,$D7&gt;0),$J7*(1-param_PS_LayMortWeekly)^INT((AR$5-$H7)/7),0),0)+IFERROR(IF(AND(AR$5&gt;=$H8,AR$5&lt;=$I8,$D8&gt;0),$J8*(1-param_PS_LayMortWeekly)^INT((AR$5-$H8)/7),0),0)+IFERROR(IF(AND(AR$5&gt;=$H9,AR$5&lt;=$I9,$D9&gt;0),$J9*(1-param_PS_LayMortWeekly)^INT((AR$5-$H9)/7),0),0)+IFERROR(IF(AND(AR$5&gt;=$H10,AR$5&lt;=$I10,$D10&gt;0),$J10*(1-param_PS_LayMortWeekly)^INT((AR$5-$H10)/7),0),0)+IFERROR(IF(AND(AR$5&gt;=$H11,AR$5&lt;=$I11,$D11&gt;0),$J11*(1-param_PS_LayMortWeekly)^INT((AR$5-$H11)/7),0),0)+IFERROR(IF(AND(AR$5&gt;=$H12,AR$5&lt;=$I12,$D12&gt;0),$J12*(1-param_PS_LayMortWeekly)^INT((AR$5-$H12)/7),0),0),0),0)</f>
        <v/>
      </c>
      <c r="AS32" s="41">
        <f>IFERROR(ROUND(IFERROR(IF(AND(AS$5&gt;=$H7,AS$5&lt;=$I7,$D7&gt;0),$J7*(1-param_PS_LayMortWeekly)^INT((AS$5-$H7)/7),0),0)+IFERROR(IF(AND(AS$5&gt;=$H8,AS$5&lt;=$I8,$D8&gt;0),$J8*(1-param_PS_LayMortWeekly)^INT((AS$5-$H8)/7),0),0)+IFERROR(IF(AND(AS$5&gt;=$H9,AS$5&lt;=$I9,$D9&gt;0),$J9*(1-param_PS_LayMortWeekly)^INT((AS$5-$H9)/7),0),0)+IFERROR(IF(AND(AS$5&gt;=$H10,AS$5&lt;=$I10,$D10&gt;0),$J10*(1-param_PS_LayMortWeekly)^INT((AS$5-$H10)/7),0),0)+IFERROR(IF(AND(AS$5&gt;=$H11,AS$5&lt;=$I11,$D11&gt;0),$J11*(1-param_PS_LayMortWeekly)^INT((AS$5-$H11)/7),0),0)+IFERROR(IF(AND(AS$5&gt;=$H12,AS$5&lt;=$I12,$D12&gt;0),$J12*(1-param_PS_LayMortWeekly)^INT((AS$5-$H12)/7),0),0),0),0)</f>
        <v/>
      </c>
      <c r="AT32" s="41">
        <f>IFERROR(ROUND(IFERROR(IF(AND(AT$5&gt;=$H7,AT$5&lt;=$I7,$D7&gt;0),$J7*(1-param_PS_LayMortWeekly)^INT((AT$5-$H7)/7),0),0)+IFERROR(IF(AND(AT$5&gt;=$H8,AT$5&lt;=$I8,$D8&gt;0),$J8*(1-param_PS_LayMortWeekly)^INT((AT$5-$H8)/7),0),0)+IFERROR(IF(AND(AT$5&gt;=$H9,AT$5&lt;=$I9,$D9&gt;0),$J9*(1-param_PS_LayMortWeekly)^INT((AT$5-$H9)/7),0),0)+IFERROR(IF(AND(AT$5&gt;=$H10,AT$5&lt;=$I10,$D10&gt;0),$J10*(1-param_PS_LayMortWeekly)^INT((AT$5-$H10)/7),0),0)+IFERROR(IF(AND(AT$5&gt;=$H11,AT$5&lt;=$I11,$D11&gt;0),$J11*(1-param_PS_LayMortWeekly)^INT((AT$5-$H11)/7),0),0)+IFERROR(IF(AND(AT$5&gt;=$H12,AT$5&lt;=$I12,$D12&gt;0),$J12*(1-param_PS_LayMortWeekly)^INT((AT$5-$H12)/7),0),0),0),0)</f>
        <v/>
      </c>
      <c r="AU32" s="41">
        <f>IFERROR(ROUND(IFERROR(IF(AND(AU$5&gt;=$H7,AU$5&lt;=$I7,$D7&gt;0),$J7*(1-param_PS_LayMortWeekly)^INT((AU$5-$H7)/7),0),0)+IFERROR(IF(AND(AU$5&gt;=$H8,AU$5&lt;=$I8,$D8&gt;0),$J8*(1-param_PS_LayMortWeekly)^INT((AU$5-$H8)/7),0),0)+IFERROR(IF(AND(AU$5&gt;=$H9,AU$5&lt;=$I9,$D9&gt;0),$J9*(1-param_PS_LayMortWeekly)^INT((AU$5-$H9)/7),0),0)+IFERROR(IF(AND(AU$5&gt;=$H10,AU$5&lt;=$I10,$D10&gt;0),$J10*(1-param_PS_LayMortWeekly)^INT((AU$5-$H10)/7),0),0)+IFERROR(IF(AND(AU$5&gt;=$H11,AU$5&lt;=$I11,$D11&gt;0),$J11*(1-param_PS_LayMortWeekly)^INT((AU$5-$H11)/7),0),0)+IFERROR(IF(AND(AU$5&gt;=$H12,AU$5&lt;=$I12,$D12&gt;0),$J12*(1-param_PS_LayMortWeekly)^INT((AU$5-$H12)/7),0),0),0),0)</f>
        <v/>
      </c>
      <c r="AV32" s="41">
        <f>IFERROR(ROUND(IFERROR(IF(AND(AV$5&gt;=$H7,AV$5&lt;=$I7,$D7&gt;0),$J7*(1-param_PS_LayMortWeekly)^INT((AV$5-$H7)/7),0),0)+IFERROR(IF(AND(AV$5&gt;=$H8,AV$5&lt;=$I8,$D8&gt;0),$J8*(1-param_PS_LayMortWeekly)^INT((AV$5-$H8)/7),0),0)+IFERROR(IF(AND(AV$5&gt;=$H9,AV$5&lt;=$I9,$D9&gt;0),$J9*(1-param_PS_LayMortWeekly)^INT((AV$5-$H9)/7),0),0)+IFERROR(IF(AND(AV$5&gt;=$H10,AV$5&lt;=$I10,$D10&gt;0),$J10*(1-param_PS_LayMortWeekly)^INT((AV$5-$H10)/7),0),0)+IFERROR(IF(AND(AV$5&gt;=$H11,AV$5&lt;=$I11,$D11&gt;0),$J11*(1-param_PS_LayMortWeekly)^INT((AV$5-$H11)/7),0),0)+IFERROR(IF(AND(AV$5&gt;=$H12,AV$5&lt;=$I12,$D12&gt;0),$J12*(1-param_PS_LayMortWeekly)^INT((AV$5-$H12)/7),0),0),0),0)</f>
        <v/>
      </c>
      <c r="AW32" s="41">
        <f>IFERROR(ROUND(IFERROR(IF(AND(AW$5&gt;=$H7,AW$5&lt;=$I7,$D7&gt;0),$J7*(1-param_PS_LayMortWeekly)^INT((AW$5-$H7)/7),0),0)+IFERROR(IF(AND(AW$5&gt;=$H8,AW$5&lt;=$I8,$D8&gt;0),$J8*(1-param_PS_LayMortWeekly)^INT((AW$5-$H8)/7),0),0)+IFERROR(IF(AND(AW$5&gt;=$H9,AW$5&lt;=$I9,$D9&gt;0),$J9*(1-param_PS_LayMortWeekly)^INT((AW$5-$H9)/7),0),0)+IFERROR(IF(AND(AW$5&gt;=$H10,AW$5&lt;=$I10,$D10&gt;0),$J10*(1-param_PS_LayMortWeekly)^INT((AW$5-$H10)/7),0),0)+IFERROR(IF(AND(AW$5&gt;=$H11,AW$5&lt;=$I11,$D11&gt;0),$J11*(1-param_PS_LayMortWeekly)^INT((AW$5-$H11)/7),0),0)+IFERROR(IF(AND(AW$5&gt;=$H12,AW$5&lt;=$I12,$D12&gt;0),$J12*(1-param_PS_LayMortWeekly)^INT((AW$5-$H12)/7),0),0),0),0)</f>
        <v/>
      </c>
      <c r="AX32" s="41">
        <f>IFERROR(ROUND(IFERROR(IF(AND(AX$5&gt;=$H7,AX$5&lt;=$I7,$D7&gt;0),$J7*(1-param_PS_LayMortWeekly)^INT((AX$5-$H7)/7),0),0)+IFERROR(IF(AND(AX$5&gt;=$H8,AX$5&lt;=$I8,$D8&gt;0),$J8*(1-param_PS_LayMortWeekly)^INT((AX$5-$H8)/7),0),0)+IFERROR(IF(AND(AX$5&gt;=$H9,AX$5&lt;=$I9,$D9&gt;0),$J9*(1-param_PS_LayMortWeekly)^INT((AX$5-$H9)/7),0),0)+IFERROR(IF(AND(AX$5&gt;=$H10,AX$5&lt;=$I10,$D10&gt;0),$J10*(1-param_PS_LayMortWeekly)^INT((AX$5-$H10)/7),0),0)+IFERROR(IF(AND(AX$5&gt;=$H11,AX$5&lt;=$I11,$D11&gt;0),$J11*(1-param_PS_LayMortWeekly)^INT((AX$5-$H11)/7),0),0)+IFERROR(IF(AND(AX$5&gt;=$H12,AX$5&lt;=$I12,$D12&gt;0),$J12*(1-param_PS_LayMortWeekly)^INT((AX$5-$H12)/7),0),0),0),0)</f>
        <v/>
      </c>
      <c r="AY32" s="41">
        <f>IFERROR(ROUND(IFERROR(IF(AND(AY$5&gt;=$H7,AY$5&lt;=$I7,$D7&gt;0),$J7*(1-param_PS_LayMortWeekly)^INT((AY$5-$H7)/7),0),0)+IFERROR(IF(AND(AY$5&gt;=$H8,AY$5&lt;=$I8,$D8&gt;0),$J8*(1-param_PS_LayMortWeekly)^INT((AY$5-$H8)/7),0),0)+IFERROR(IF(AND(AY$5&gt;=$H9,AY$5&lt;=$I9,$D9&gt;0),$J9*(1-param_PS_LayMortWeekly)^INT((AY$5-$H9)/7),0),0)+IFERROR(IF(AND(AY$5&gt;=$H10,AY$5&lt;=$I10,$D10&gt;0),$J10*(1-param_PS_LayMortWeekly)^INT((AY$5-$H10)/7),0),0)+IFERROR(IF(AND(AY$5&gt;=$H11,AY$5&lt;=$I11,$D11&gt;0),$J11*(1-param_PS_LayMortWeekly)^INT((AY$5-$H11)/7),0),0)+IFERROR(IF(AND(AY$5&gt;=$H12,AY$5&lt;=$I12,$D12&gt;0),$J12*(1-param_PS_LayMortWeekly)^INT((AY$5-$H12)/7),0),0),0),0)</f>
        <v/>
      </c>
      <c r="AZ32" s="41">
        <f>IFERROR(ROUND(IFERROR(IF(AND(AZ$5&gt;=$H7,AZ$5&lt;=$I7,$D7&gt;0),$J7*(1-param_PS_LayMortWeekly)^INT((AZ$5-$H7)/7),0),0)+IFERROR(IF(AND(AZ$5&gt;=$H8,AZ$5&lt;=$I8,$D8&gt;0),$J8*(1-param_PS_LayMortWeekly)^INT((AZ$5-$H8)/7),0),0)+IFERROR(IF(AND(AZ$5&gt;=$H9,AZ$5&lt;=$I9,$D9&gt;0),$J9*(1-param_PS_LayMortWeekly)^INT((AZ$5-$H9)/7),0),0)+IFERROR(IF(AND(AZ$5&gt;=$H10,AZ$5&lt;=$I10,$D10&gt;0),$J10*(1-param_PS_LayMortWeekly)^INT((AZ$5-$H10)/7),0),0)+IFERROR(IF(AND(AZ$5&gt;=$H11,AZ$5&lt;=$I11,$D11&gt;0),$J11*(1-param_PS_LayMortWeekly)^INT((AZ$5-$H11)/7),0),0)+IFERROR(IF(AND(AZ$5&gt;=$H12,AZ$5&lt;=$I12,$D12&gt;0),$J12*(1-param_PS_LayMortWeekly)^INT((AZ$5-$H12)/7),0),0),0),0)</f>
        <v/>
      </c>
      <c r="BA32" s="41">
        <f>IFERROR(ROUND(IFERROR(IF(AND(BA$5&gt;=$H7,BA$5&lt;=$I7,$D7&gt;0),$J7*(1-param_PS_LayMortWeekly)^INT((BA$5-$H7)/7),0),0)+IFERROR(IF(AND(BA$5&gt;=$H8,BA$5&lt;=$I8,$D8&gt;0),$J8*(1-param_PS_LayMortWeekly)^INT((BA$5-$H8)/7),0),0)+IFERROR(IF(AND(BA$5&gt;=$H9,BA$5&lt;=$I9,$D9&gt;0),$J9*(1-param_PS_LayMortWeekly)^INT((BA$5-$H9)/7),0),0)+IFERROR(IF(AND(BA$5&gt;=$H10,BA$5&lt;=$I10,$D10&gt;0),$J10*(1-param_PS_LayMortWeekly)^INT((BA$5-$H10)/7),0),0)+IFERROR(IF(AND(BA$5&gt;=$H11,BA$5&lt;=$I11,$D11&gt;0),$J11*(1-param_PS_LayMortWeekly)^INT((BA$5-$H11)/7),0),0)+IFERROR(IF(AND(BA$5&gt;=$H12,BA$5&lt;=$I12,$D12&gt;0),$J12*(1-param_PS_LayMortWeekly)^INT((BA$5-$H12)/7),0),0),0),0)</f>
        <v/>
      </c>
      <c r="BB32" s="41">
        <f>IFERROR(ROUND(IFERROR(IF(AND(BB$5&gt;=$H7,BB$5&lt;=$I7,$D7&gt;0),$J7*(1-param_PS_LayMortWeekly)^INT((BB$5-$H7)/7),0),0)+IFERROR(IF(AND(BB$5&gt;=$H8,BB$5&lt;=$I8,$D8&gt;0),$J8*(1-param_PS_LayMortWeekly)^INT((BB$5-$H8)/7),0),0)+IFERROR(IF(AND(BB$5&gt;=$H9,BB$5&lt;=$I9,$D9&gt;0),$J9*(1-param_PS_LayMortWeekly)^INT((BB$5-$H9)/7),0),0)+IFERROR(IF(AND(BB$5&gt;=$H10,BB$5&lt;=$I10,$D10&gt;0),$J10*(1-param_PS_LayMortWeekly)^INT((BB$5-$H10)/7),0),0)+IFERROR(IF(AND(BB$5&gt;=$H11,BB$5&lt;=$I11,$D11&gt;0),$J11*(1-param_PS_LayMortWeekly)^INT((BB$5-$H11)/7),0),0)+IFERROR(IF(AND(BB$5&gt;=$H12,BB$5&lt;=$I12,$D12&gt;0),$J12*(1-param_PS_LayMortWeekly)^INT((BB$5-$H12)/7),0),0),0),0)</f>
        <v/>
      </c>
      <c r="BC32" s="41">
        <f>IFERROR(ROUND(IFERROR(IF(AND(BC$5&gt;=$H7,BC$5&lt;=$I7,$D7&gt;0),$J7*(1-param_PS_LayMortWeekly)^INT((BC$5-$H7)/7),0),0)+IFERROR(IF(AND(BC$5&gt;=$H8,BC$5&lt;=$I8,$D8&gt;0),$J8*(1-param_PS_LayMortWeekly)^INT((BC$5-$H8)/7),0),0)+IFERROR(IF(AND(BC$5&gt;=$H9,BC$5&lt;=$I9,$D9&gt;0),$J9*(1-param_PS_LayMortWeekly)^INT((BC$5-$H9)/7),0),0)+IFERROR(IF(AND(BC$5&gt;=$H10,BC$5&lt;=$I10,$D10&gt;0),$J10*(1-param_PS_LayMortWeekly)^INT((BC$5-$H10)/7),0),0)+IFERROR(IF(AND(BC$5&gt;=$H11,BC$5&lt;=$I11,$D11&gt;0),$J11*(1-param_PS_LayMortWeekly)^INT((BC$5-$H11)/7),0),0)+IFERROR(IF(AND(BC$5&gt;=$H12,BC$5&lt;=$I12,$D12&gt;0),$J12*(1-param_PS_LayMortWeekly)^INT((BC$5-$H12)/7),0),0),0),0)</f>
        <v/>
      </c>
      <c r="BD32" s="41">
        <f>IFERROR(ROUND(IFERROR(IF(AND(BD$5&gt;=$H7,BD$5&lt;=$I7,$D7&gt;0),$J7*(1-param_PS_LayMortWeekly)^INT((BD$5-$H7)/7),0),0)+IFERROR(IF(AND(BD$5&gt;=$H8,BD$5&lt;=$I8,$D8&gt;0),$J8*(1-param_PS_LayMortWeekly)^INT((BD$5-$H8)/7),0),0)+IFERROR(IF(AND(BD$5&gt;=$H9,BD$5&lt;=$I9,$D9&gt;0),$J9*(1-param_PS_LayMortWeekly)^INT((BD$5-$H9)/7),0),0)+IFERROR(IF(AND(BD$5&gt;=$H10,BD$5&lt;=$I10,$D10&gt;0),$J10*(1-param_PS_LayMortWeekly)^INT((BD$5-$H10)/7),0),0)+IFERROR(IF(AND(BD$5&gt;=$H11,BD$5&lt;=$I11,$D11&gt;0),$J11*(1-param_PS_LayMortWeekly)^INT((BD$5-$H11)/7),0),0)+IFERROR(IF(AND(BD$5&gt;=$H12,BD$5&lt;=$I12,$D12&gt;0),$J12*(1-param_PS_LayMortWeekly)^INT((BD$5-$H12)/7),0),0),0),0)</f>
        <v/>
      </c>
      <c r="BE32" s="41">
        <f>IFERROR(ROUND(IFERROR(IF(AND(BE$5&gt;=$H7,BE$5&lt;=$I7,$D7&gt;0),$J7*(1-param_PS_LayMortWeekly)^INT((BE$5-$H7)/7),0),0)+IFERROR(IF(AND(BE$5&gt;=$H8,BE$5&lt;=$I8,$D8&gt;0),$J8*(1-param_PS_LayMortWeekly)^INT((BE$5-$H8)/7),0),0)+IFERROR(IF(AND(BE$5&gt;=$H9,BE$5&lt;=$I9,$D9&gt;0),$J9*(1-param_PS_LayMortWeekly)^INT((BE$5-$H9)/7),0),0)+IFERROR(IF(AND(BE$5&gt;=$H10,BE$5&lt;=$I10,$D10&gt;0),$J10*(1-param_PS_LayMortWeekly)^INT((BE$5-$H10)/7),0),0)+IFERROR(IF(AND(BE$5&gt;=$H11,BE$5&lt;=$I11,$D11&gt;0),$J11*(1-param_PS_LayMortWeekly)^INT((BE$5-$H11)/7),0),0)+IFERROR(IF(AND(BE$5&gt;=$H12,BE$5&lt;=$I12,$D12&gt;0),$J12*(1-param_PS_LayMortWeekly)^INT((BE$5-$H12)/7),0),0),0),0)</f>
        <v/>
      </c>
      <c r="BF32" s="41">
        <f>IFERROR(ROUND(IFERROR(IF(AND(BF$5&gt;=$H7,BF$5&lt;=$I7,$D7&gt;0),$J7*(1-param_PS_LayMortWeekly)^INT((BF$5-$H7)/7),0),0)+IFERROR(IF(AND(BF$5&gt;=$H8,BF$5&lt;=$I8,$D8&gt;0),$J8*(1-param_PS_LayMortWeekly)^INT((BF$5-$H8)/7),0),0)+IFERROR(IF(AND(BF$5&gt;=$H9,BF$5&lt;=$I9,$D9&gt;0),$J9*(1-param_PS_LayMortWeekly)^INT((BF$5-$H9)/7),0),0)+IFERROR(IF(AND(BF$5&gt;=$H10,BF$5&lt;=$I10,$D10&gt;0),$J10*(1-param_PS_LayMortWeekly)^INT((BF$5-$H10)/7),0),0)+IFERROR(IF(AND(BF$5&gt;=$H11,BF$5&lt;=$I11,$D11&gt;0),$J11*(1-param_PS_LayMortWeekly)^INT((BF$5-$H11)/7),0),0)+IFERROR(IF(AND(BF$5&gt;=$H12,BF$5&lt;=$I12,$D12&gt;0),$J12*(1-param_PS_LayMortWeekly)^INT((BF$5-$H12)/7),0),0),0),0)</f>
        <v/>
      </c>
      <c r="BG32" s="41">
        <f>IFERROR(ROUND(IFERROR(IF(AND(BG$5&gt;=$H7,BG$5&lt;=$I7,$D7&gt;0),$J7*(1-param_PS_LayMortWeekly)^INT((BG$5-$H7)/7),0),0)+IFERROR(IF(AND(BG$5&gt;=$H8,BG$5&lt;=$I8,$D8&gt;0),$J8*(1-param_PS_LayMortWeekly)^INT((BG$5-$H8)/7),0),0)+IFERROR(IF(AND(BG$5&gt;=$H9,BG$5&lt;=$I9,$D9&gt;0),$J9*(1-param_PS_LayMortWeekly)^INT((BG$5-$H9)/7),0),0)+IFERROR(IF(AND(BG$5&gt;=$H10,BG$5&lt;=$I10,$D10&gt;0),$J10*(1-param_PS_LayMortWeekly)^INT((BG$5-$H10)/7),0),0)+IFERROR(IF(AND(BG$5&gt;=$H11,BG$5&lt;=$I11,$D11&gt;0),$J11*(1-param_PS_LayMortWeekly)^INT((BG$5-$H11)/7),0),0)+IFERROR(IF(AND(BG$5&gt;=$H12,BG$5&lt;=$I12,$D12&gt;0),$J12*(1-param_PS_LayMortWeekly)^INT((BG$5-$H12)/7),0),0),0),0)</f>
        <v/>
      </c>
      <c r="BH32" s="41">
        <f>IFERROR(ROUND(IFERROR(IF(AND(BH$5&gt;=$H7,BH$5&lt;=$I7,$D7&gt;0),$J7*(1-param_PS_LayMortWeekly)^INT((BH$5-$H7)/7),0),0)+IFERROR(IF(AND(BH$5&gt;=$H8,BH$5&lt;=$I8,$D8&gt;0),$J8*(1-param_PS_LayMortWeekly)^INT((BH$5-$H8)/7),0),0)+IFERROR(IF(AND(BH$5&gt;=$H9,BH$5&lt;=$I9,$D9&gt;0),$J9*(1-param_PS_LayMortWeekly)^INT((BH$5-$H9)/7),0),0)+IFERROR(IF(AND(BH$5&gt;=$H10,BH$5&lt;=$I10,$D10&gt;0),$J10*(1-param_PS_LayMortWeekly)^INT((BH$5-$H10)/7),0),0)+IFERROR(IF(AND(BH$5&gt;=$H11,BH$5&lt;=$I11,$D11&gt;0),$J11*(1-param_PS_LayMortWeekly)^INT((BH$5-$H11)/7),0),0)+IFERROR(IF(AND(BH$5&gt;=$H12,BH$5&lt;=$I12,$D12&gt;0),$J12*(1-param_PS_LayMortWeekly)^INT((BH$5-$H12)/7),0),0),0),0)</f>
        <v/>
      </c>
      <c r="BI32" s="41">
        <f>IFERROR(ROUND(IFERROR(IF(AND(BI$5&gt;=$H7,BI$5&lt;=$I7,$D7&gt;0),$J7*(1-param_PS_LayMortWeekly)^INT((BI$5-$H7)/7),0),0)+IFERROR(IF(AND(BI$5&gt;=$H8,BI$5&lt;=$I8,$D8&gt;0),$J8*(1-param_PS_LayMortWeekly)^INT((BI$5-$H8)/7),0),0)+IFERROR(IF(AND(BI$5&gt;=$H9,BI$5&lt;=$I9,$D9&gt;0),$J9*(1-param_PS_LayMortWeekly)^INT((BI$5-$H9)/7),0),0)+IFERROR(IF(AND(BI$5&gt;=$H10,BI$5&lt;=$I10,$D10&gt;0),$J10*(1-param_PS_LayMortWeekly)^INT((BI$5-$H10)/7),0),0)+IFERROR(IF(AND(BI$5&gt;=$H11,BI$5&lt;=$I11,$D11&gt;0),$J11*(1-param_PS_LayMortWeekly)^INT((BI$5-$H11)/7),0),0)+IFERROR(IF(AND(BI$5&gt;=$H12,BI$5&lt;=$I12,$D12&gt;0),$J12*(1-param_PS_LayMortWeekly)^INT((BI$5-$H12)/7),0),0),0),0)</f>
        <v/>
      </c>
      <c r="BJ32" s="41">
        <f>IFERROR(ROUND(IFERROR(IF(AND(BJ$5&gt;=$H7,BJ$5&lt;=$I7,$D7&gt;0),$J7*(1-param_PS_LayMortWeekly)^INT((BJ$5-$H7)/7),0),0)+IFERROR(IF(AND(BJ$5&gt;=$H8,BJ$5&lt;=$I8,$D8&gt;0),$J8*(1-param_PS_LayMortWeekly)^INT((BJ$5-$H8)/7),0),0)+IFERROR(IF(AND(BJ$5&gt;=$H9,BJ$5&lt;=$I9,$D9&gt;0),$J9*(1-param_PS_LayMortWeekly)^INT((BJ$5-$H9)/7),0),0)+IFERROR(IF(AND(BJ$5&gt;=$H10,BJ$5&lt;=$I10,$D10&gt;0),$J10*(1-param_PS_LayMortWeekly)^INT((BJ$5-$H10)/7),0),0)+IFERROR(IF(AND(BJ$5&gt;=$H11,BJ$5&lt;=$I11,$D11&gt;0),$J11*(1-param_PS_LayMortWeekly)^INT((BJ$5-$H11)/7),0),0)+IFERROR(IF(AND(BJ$5&gt;=$H12,BJ$5&lt;=$I12,$D12&gt;0),$J12*(1-param_PS_LayMortWeekly)^INT((BJ$5-$H12)/7),0),0),0),0)</f>
        <v/>
      </c>
    </row>
    <row r="33" ht="16" customHeight="1">
      <c r="A33" s="66" t="inlineStr">
        <is>
          <t>Ross PS — Plant 1220 Laying (hens alive)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44">
        <f>IFERROR(ROUND(IFERROR(IF(AND(K$17&gt;=$H19,K$17&lt;=$I19,$D19&gt;0),$J19*(1-param_PS_LayMortWeekly)^INT((K$17-$H19)/7),0),0)+IFERROR(IF(AND(K$17&gt;=$H20,K$17&lt;=$I20,$D20&gt;0),$J20*(1-param_PS_LayMortWeekly)^INT((K$17-$H20)/7),0),0)+IFERROR(IF(AND(K$17&gt;=$H21,K$17&lt;=$I21,$D21&gt;0),$J21*(1-param_PS_LayMortWeekly)^INT((K$17-$H21)/7),0),0)+IFERROR(IF(AND(K$17&gt;=$H22,K$17&lt;=$I22,$D22&gt;0),$J22*(1-param_PS_LayMortWeekly)^INT((K$17-$H22)/7),0),0)+IFERROR(IF(AND(K$17&gt;=$H23,K$17&lt;=$I23,$D23&gt;0),$J23*(1-param_PS_LayMortWeekly)^INT((K$17-$H23)/7),0),0)+IFERROR(IF(AND(K$17&gt;=$H24,K$17&lt;=$I24,$D24&gt;0),$J24*(1-param_PS_LayMortWeekly)^INT((K$17-$H24)/7),0),0),0),0)</f>
        <v/>
      </c>
      <c r="L33" s="44">
        <f>IFERROR(ROUND(IFERROR(IF(AND(L$17&gt;=$H19,L$17&lt;=$I19,$D19&gt;0),$J19*(1-param_PS_LayMortWeekly)^INT((L$17-$H19)/7),0),0)+IFERROR(IF(AND(L$17&gt;=$H20,L$17&lt;=$I20,$D20&gt;0),$J20*(1-param_PS_LayMortWeekly)^INT((L$17-$H20)/7),0),0)+IFERROR(IF(AND(L$17&gt;=$H21,L$17&lt;=$I21,$D21&gt;0),$J21*(1-param_PS_LayMortWeekly)^INT((L$17-$H21)/7),0),0)+IFERROR(IF(AND(L$17&gt;=$H22,L$17&lt;=$I22,$D22&gt;0),$J22*(1-param_PS_LayMortWeekly)^INT((L$17-$H22)/7),0),0)+IFERROR(IF(AND(L$17&gt;=$H23,L$17&lt;=$I23,$D23&gt;0),$J23*(1-param_PS_LayMortWeekly)^INT((L$17-$H23)/7),0),0)+IFERROR(IF(AND(L$17&gt;=$H24,L$17&lt;=$I24,$D24&gt;0),$J24*(1-param_PS_LayMortWeekly)^INT((L$17-$H24)/7),0),0),0),0)</f>
        <v/>
      </c>
      <c r="M33" s="44">
        <f>IFERROR(ROUND(IFERROR(IF(AND(M$17&gt;=$H19,M$17&lt;=$I19,$D19&gt;0),$J19*(1-param_PS_LayMortWeekly)^INT((M$17-$H19)/7),0),0)+IFERROR(IF(AND(M$17&gt;=$H20,M$17&lt;=$I20,$D20&gt;0),$J20*(1-param_PS_LayMortWeekly)^INT((M$17-$H20)/7),0),0)+IFERROR(IF(AND(M$17&gt;=$H21,M$17&lt;=$I21,$D21&gt;0),$J21*(1-param_PS_LayMortWeekly)^INT((M$17-$H21)/7),0),0)+IFERROR(IF(AND(M$17&gt;=$H22,M$17&lt;=$I22,$D22&gt;0),$J22*(1-param_PS_LayMortWeekly)^INT((M$17-$H22)/7),0),0)+IFERROR(IF(AND(M$17&gt;=$H23,M$17&lt;=$I23,$D23&gt;0),$J23*(1-param_PS_LayMortWeekly)^INT((M$17-$H23)/7),0),0)+IFERROR(IF(AND(M$17&gt;=$H24,M$17&lt;=$I24,$D24&gt;0),$J24*(1-param_PS_LayMortWeekly)^INT((M$17-$H24)/7),0),0),0),0)</f>
        <v/>
      </c>
      <c r="N33" s="44">
        <f>IFERROR(ROUND(IFERROR(IF(AND(N$17&gt;=$H19,N$17&lt;=$I19,$D19&gt;0),$J19*(1-param_PS_LayMortWeekly)^INT((N$17-$H19)/7),0),0)+IFERROR(IF(AND(N$17&gt;=$H20,N$17&lt;=$I20,$D20&gt;0),$J20*(1-param_PS_LayMortWeekly)^INT((N$17-$H20)/7),0),0)+IFERROR(IF(AND(N$17&gt;=$H21,N$17&lt;=$I21,$D21&gt;0),$J21*(1-param_PS_LayMortWeekly)^INT((N$17-$H21)/7),0),0)+IFERROR(IF(AND(N$17&gt;=$H22,N$17&lt;=$I22,$D22&gt;0),$J22*(1-param_PS_LayMortWeekly)^INT((N$17-$H22)/7),0),0)+IFERROR(IF(AND(N$17&gt;=$H23,N$17&lt;=$I23,$D23&gt;0),$J23*(1-param_PS_LayMortWeekly)^INT((N$17-$H23)/7),0),0)+IFERROR(IF(AND(N$17&gt;=$H24,N$17&lt;=$I24,$D24&gt;0),$J24*(1-param_PS_LayMortWeekly)^INT((N$17-$H24)/7),0),0),0),0)</f>
        <v/>
      </c>
      <c r="O33" s="44">
        <f>IFERROR(ROUND(IFERROR(IF(AND(O$17&gt;=$H19,O$17&lt;=$I19,$D19&gt;0),$J19*(1-param_PS_LayMortWeekly)^INT((O$17-$H19)/7),0),0)+IFERROR(IF(AND(O$17&gt;=$H20,O$17&lt;=$I20,$D20&gt;0),$J20*(1-param_PS_LayMortWeekly)^INT((O$17-$H20)/7),0),0)+IFERROR(IF(AND(O$17&gt;=$H21,O$17&lt;=$I21,$D21&gt;0),$J21*(1-param_PS_LayMortWeekly)^INT((O$17-$H21)/7),0),0)+IFERROR(IF(AND(O$17&gt;=$H22,O$17&lt;=$I22,$D22&gt;0),$J22*(1-param_PS_LayMortWeekly)^INT((O$17-$H22)/7),0),0)+IFERROR(IF(AND(O$17&gt;=$H23,O$17&lt;=$I23,$D23&gt;0),$J23*(1-param_PS_LayMortWeekly)^INT((O$17-$H23)/7),0),0)+IFERROR(IF(AND(O$17&gt;=$H24,O$17&lt;=$I24,$D24&gt;0),$J24*(1-param_PS_LayMortWeekly)^INT((O$17-$H24)/7),0),0),0),0)</f>
        <v/>
      </c>
      <c r="P33" s="44">
        <f>IFERROR(ROUND(IFERROR(IF(AND(P$17&gt;=$H19,P$17&lt;=$I19,$D19&gt;0),$J19*(1-param_PS_LayMortWeekly)^INT((P$17-$H19)/7),0),0)+IFERROR(IF(AND(P$17&gt;=$H20,P$17&lt;=$I20,$D20&gt;0),$J20*(1-param_PS_LayMortWeekly)^INT((P$17-$H20)/7),0),0)+IFERROR(IF(AND(P$17&gt;=$H21,P$17&lt;=$I21,$D21&gt;0),$J21*(1-param_PS_LayMortWeekly)^INT((P$17-$H21)/7),0),0)+IFERROR(IF(AND(P$17&gt;=$H22,P$17&lt;=$I22,$D22&gt;0),$J22*(1-param_PS_LayMortWeekly)^INT((P$17-$H22)/7),0),0)+IFERROR(IF(AND(P$17&gt;=$H23,P$17&lt;=$I23,$D23&gt;0),$J23*(1-param_PS_LayMortWeekly)^INT((P$17-$H23)/7),0),0)+IFERROR(IF(AND(P$17&gt;=$H24,P$17&lt;=$I24,$D24&gt;0),$J24*(1-param_PS_LayMortWeekly)^INT((P$17-$H24)/7),0),0),0),0)</f>
        <v/>
      </c>
      <c r="Q33" s="44">
        <f>IFERROR(ROUND(IFERROR(IF(AND(Q$17&gt;=$H19,Q$17&lt;=$I19,$D19&gt;0),$J19*(1-param_PS_LayMortWeekly)^INT((Q$17-$H19)/7),0),0)+IFERROR(IF(AND(Q$17&gt;=$H20,Q$17&lt;=$I20,$D20&gt;0),$J20*(1-param_PS_LayMortWeekly)^INT((Q$17-$H20)/7),0),0)+IFERROR(IF(AND(Q$17&gt;=$H21,Q$17&lt;=$I21,$D21&gt;0),$J21*(1-param_PS_LayMortWeekly)^INT((Q$17-$H21)/7),0),0)+IFERROR(IF(AND(Q$17&gt;=$H22,Q$17&lt;=$I22,$D22&gt;0),$J22*(1-param_PS_LayMortWeekly)^INT((Q$17-$H22)/7),0),0)+IFERROR(IF(AND(Q$17&gt;=$H23,Q$17&lt;=$I23,$D23&gt;0),$J23*(1-param_PS_LayMortWeekly)^INT((Q$17-$H23)/7),0),0)+IFERROR(IF(AND(Q$17&gt;=$H24,Q$17&lt;=$I24,$D24&gt;0),$J24*(1-param_PS_LayMortWeekly)^INT((Q$17-$H24)/7),0),0),0),0)</f>
        <v/>
      </c>
      <c r="R33" s="44">
        <f>IFERROR(ROUND(IFERROR(IF(AND(R$17&gt;=$H19,R$17&lt;=$I19,$D19&gt;0),$J19*(1-param_PS_LayMortWeekly)^INT((R$17-$H19)/7),0),0)+IFERROR(IF(AND(R$17&gt;=$H20,R$17&lt;=$I20,$D20&gt;0),$J20*(1-param_PS_LayMortWeekly)^INT((R$17-$H20)/7),0),0)+IFERROR(IF(AND(R$17&gt;=$H21,R$17&lt;=$I21,$D21&gt;0),$J21*(1-param_PS_LayMortWeekly)^INT((R$17-$H21)/7),0),0)+IFERROR(IF(AND(R$17&gt;=$H22,R$17&lt;=$I22,$D22&gt;0),$J22*(1-param_PS_LayMortWeekly)^INT((R$17-$H22)/7),0),0)+IFERROR(IF(AND(R$17&gt;=$H23,R$17&lt;=$I23,$D23&gt;0),$J23*(1-param_PS_LayMortWeekly)^INT((R$17-$H23)/7),0),0)+IFERROR(IF(AND(R$17&gt;=$H24,R$17&lt;=$I24,$D24&gt;0),$J24*(1-param_PS_LayMortWeekly)^INT((R$17-$H24)/7),0),0),0),0)</f>
        <v/>
      </c>
      <c r="S33" s="44">
        <f>IFERROR(ROUND(IFERROR(IF(AND(S$17&gt;=$H19,S$17&lt;=$I19,$D19&gt;0),$J19*(1-param_PS_LayMortWeekly)^INT((S$17-$H19)/7),0),0)+IFERROR(IF(AND(S$17&gt;=$H20,S$17&lt;=$I20,$D20&gt;0),$J20*(1-param_PS_LayMortWeekly)^INT((S$17-$H20)/7),0),0)+IFERROR(IF(AND(S$17&gt;=$H21,S$17&lt;=$I21,$D21&gt;0),$J21*(1-param_PS_LayMortWeekly)^INT((S$17-$H21)/7),0),0)+IFERROR(IF(AND(S$17&gt;=$H22,S$17&lt;=$I22,$D22&gt;0),$J22*(1-param_PS_LayMortWeekly)^INT((S$17-$H22)/7),0),0)+IFERROR(IF(AND(S$17&gt;=$H23,S$17&lt;=$I23,$D23&gt;0),$J23*(1-param_PS_LayMortWeekly)^INT((S$17-$H23)/7),0),0)+IFERROR(IF(AND(S$17&gt;=$H24,S$17&lt;=$I24,$D24&gt;0),$J24*(1-param_PS_LayMortWeekly)^INT((S$17-$H24)/7),0),0),0),0)</f>
        <v/>
      </c>
      <c r="T33" s="44">
        <f>IFERROR(ROUND(IFERROR(IF(AND(T$17&gt;=$H19,T$17&lt;=$I19,$D19&gt;0),$J19*(1-param_PS_LayMortWeekly)^INT((T$17-$H19)/7),0),0)+IFERROR(IF(AND(T$17&gt;=$H20,T$17&lt;=$I20,$D20&gt;0),$J20*(1-param_PS_LayMortWeekly)^INT((T$17-$H20)/7),0),0)+IFERROR(IF(AND(T$17&gt;=$H21,T$17&lt;=$I21,$D21&gt;0),$J21*(1-param_PS_LayMortWeekly)^INT((T$17-$H21)/7),0),0)+IFERROR(IF(AND(T$17&gt;=$H22,T$17&lt;=$I22,$D22&gt;0),$J22*(1-param_PS_LayMortWeekly)^INT((T$17-$H22)/7),0),0)+IFERROR(IF(AND(T$17&gt;=$H23,T$17&lt;=$I23,$D23&gt;0),$J23*(1-param_PS_LayMortWeekly)^INT((T$17-$H23)/7),0),0)+IFERROR(IF(AND(T$17&gt;=$H24,T$17&lt;=$I24,$D24&gt;0),$J24*(1-param_PS_LayMortWeekly)^INT((T$17-$H24)/7),0),0),0),0)</f>
        <v/>
      </c>
      <c r="U33" s="44">
        <f>IFERROR(ROUND(IFERROR(IF(AND(U$17&gt;=$H19,U$17&lt;=$I19,$D19&gt;0),$J19*(1-param_PS_LayMortWeekly)^INT((U$17-$H19)/7),0),0)+IFERROR(IF(AND(U$17&gt;=$H20,U$17&lt;=$I20,$D20&gt;0),$J20*(1-param_PS_LayMortWeekly)^INT((U$17-$H20)/7),0),0)+IFERROR(IF(AND(U$17&gt;=$H21,U$17&lt;=$I21,$D21&gt;0),$J21*(1-param_PS_LayMortWeekly)^INT((U$17-$H21)/7),0),0)+IFERROR(IF(AND(U$17&gt;=$H22,U$17&lt;=$I22,$D22&gt;0),$J22*(1-param_PS_LayMortWeekly)^INT((U$17-$H22)/7),0),0)+IFERROR(IF(AND(U$17&gt;=$H23,U$17&lt;=$I23,$D23&gt;0),$J23*(1-param_PS_LayMortWeekly)^INT((U$17-$H23)/7),0),0)+IFERROR(IF(AND(U$17&gt;=$H24,U$17&lt;=$I24,$D24&gt;0),$J24*(1-param_PS_LayMortWeekly)^INT((U$17-$H24)/7),0),0),0),0)</f>
        <v/>
      </c>
      <c r="V33" s="44">
        <f>IFERROR(ROUND(IFERROR(IF(AND(V$17&gt;=$H19,V$17&lt;=$I19,$D19&gt;0),$J19*(1-param_PS_LayMortWeekly)^INT((V$17-$H19)/7),0),0)+IFERROR(IF(AND(V$17&gt;=$H20,V$17&lt;=$I20,$D20&gt;0),$J20*(1-param_PS_LayMortWeekly)^INT((V$17-$H20)/7),0),0)+IFERROR(IF(AND(V$17&gt;=$H21,V$17&lt;=$I21,$D21&gt;0),$J21*(1-param_PS_LayMortWeekly)^INT((V$17-$H21)/7),0),0)+IFERROR(IF(AND(V$17&gt;=$H22,V$17&lt;=$I22,$D22&gt;0),$J22*(1-param_PS_LayMortWeekly)^INT((V$17-$H22)/7),0),0)+IFERROR(IF(AND(V$17&gt;=$H23,V$17&lt;=$I23,$D23&gt;0),$J23*(1-param_PS_LayMortWeekly)^INT((V$17-$H23)/7),0),0)+IFERROR(IF(AND(V$17&gt;=$H24,V$17&lt;=$I24,$D24&gt;0),$J24*(1-param_PS_LayMortWeekly)^INT((V$17-$H24)/7),0),0),0),0)</f>
        <v/>
      </c>
      <c r="W33" s="44">
        <f>IFERROR(ROUND(IFERROR(IF(AND(W$17&gt;=$H19,W$17&lt;=$I19,$D19&gt;0),$J19*(1-param_PS_LayMortWeekly)^INT((W$17-$H19)/7),0),0)+IFERROR(IF(AND(W$17&gt;=$H20,W$17&lt;=$I20,$D20&gt;0),$J20*(1-param_PS_LayMortWeekly)^INT((W$17-$H20)/7),0),0)+IFERROR(IF(AND(W$17&gt;=$H21,W$17&lt;=$I21,$D21&gt;0),$J21*(1-param_PS_LayMortWeekly)^INT((W$17-$H21)/7),0),0)+IFERROR(IF(AND(W$17&gt;=$H22,W$17&lt;=$I22,$D22&gt;0),$J22*(1-param_PS_LayMortWeekly)^INT((W$17-$H22)/7),0),0)+IFERROR(IF(AND(W$17&gt;=$H23,W$17&lt;=$I23,$D23&gt;0),$J23*(1-param_PS_LayMortWeekly)^INT((W$17-$H23)/7),0),0)+IFERROR(IF(AND(W$17&gt;=$H24,W$17&lt;=$I24,$D24&gt;0),$J24*(1-param_PS_LayMortWeekly)^INT((W$17-$H24)/7),0),0),0),0)</f>
        <v/>
      </c>
      <c r="X33" s="44">
        <f>IFERROR(ROUND(IFERROR(IF(AND(X$17&gt;=$H19,X$17&lt;=$I19,$D19&gt;0),$J19*(1-param_PS_LayMortWeekly)^INT((X$17-$H19)/7),0),0)+IFERROR(IF(AND(X$17&gt;=$H20,X$17&lt;=$I20,$D20&gt;0),$J20*(1-param_PS_LayMortWeekly)^INT((X$17-$H20)/7),0),0)+IFERROR(IF(AND(X$17&gt;=$H21,X$17&lt;=$I21,$D21&gt;0),$J21*(1-param_PS_LayMortWeekly)^INT((X$17-$H21)/7),0),0)+IFERROR(IF(AND(X$17&gt;=$H22,X$17&lt;=$I22,$D22&gt;0),$J22*(1-param_PS_LayMortWeekly)^INT((X$17-$H22)/7),0),0)+IFERROR(IF(AND(X$17&gt;=$H23,X$17&lt;=$I23,$D23&gt;0),$J23*(1-param_PS_LayMortWeekly)^INT((X$17-$H23)/7),0),0)+IFERROR(IF(AND(X$17&gt;=$H24,X$17&lt;=$I24,$D24&gt;0),$J24*(1-param_PS_LayMortWeekly)^INT((X$17-$H24)/7),0),0),0),0)</f>
        <v/>
      </c>
      <c r="Y33" s="44">
        <f>IFERROR(ROUND(IFERROR(IF(AND(Y$17&gt;=$H19,Y$17&lt;=$I19,$D19&gt;0),$J19*(1-param_PS_LayMortWeekly)^INT((Y$17-$H19)/7),0),0)+IFERROR(IF(AND(Y$17&gt;=$H20,Y$17&lt;=$I20,$D20&gt;0),$J20*(1-param_PS_LayMortWeekly)^INT((Y$17-$H20)/7),0),0)+IFERROR(IF(AND(Y$17&gt;=$H21,Y$17&lt;=$I21,$D21&gt;0),$J21*(1-param_PS_LayMortWeekly)^INT((Y$17-$H21)/7),0),0)+IFERROR(IF(AND(Y$17&gt;=$H22,Y$17&lt;=$I22,$D22&gt;0),$J22*(1-param_PS_LayMortWeekly)^INT((Y$17-$H22)/7),0),0)+IFERROR(IF(AND(Y$17&gt;=$H23,Y$17&lt;=$I23,$D23&gt;0),$J23*(1-param_PS_LayMortWeekly)^INT((Y$17-$H23)/7),0),0)+IFERROR(IF(AND(Y$17&gt;=$H24,Y$17&lt;=$I24,$D24&gt;0),$J24*(1-param_PS_LayMortWeekly)^INT((Y$17-$H24)/7),0),0),0),0)</f>
        <v/>
      </c>
      <c r="Z33" s="44">
        <f>IFERROR(ROUND(IFERROR(IF(AND(Z$17&gt;=$H19,Z$17&lt;=$I19,$D19&gt;0),$J19*(1-param_PS_LayMortWeekly)^INT((Z$17-$H19)/7),0),0)+IFERROR(IF(AND(Z$17&gt;=$H20,Z$17&lt;=$I20,$D20&gt;0),$J20*(1-param_PS_LayMortWeekly)^INT((Z$17-$H20)/7),0),0)+IFERROR(IF(AND(Z$17&gt;=$H21,Z$17&lt;=$I21,$D21&gt;0),$J21*(1-param_PS_LayMortWeekly)^INT((Z$17-$H21)/7),0),0)+IFERROR(IF(AND(Z$17&gt;=$H22,Z$17&lt;=$I22,$D22&gt;0),$J22*(1-param_PS_LayMortWeekly)^INT((Z$17-$H22)/7),0),0)+IFERROR(IF(AND(Z$17&gt;=$H23,Z$17&lt;=$I23,$D23&gt;0),$J23*(1-param_PS_LayMortWeekly)^INT((Z$17-$H23)/7),0),0)+IFERROR(IF(AND(Z$17&gt;=$H24,Z$17&lt;=$I24,$D24&gt;0),$J24*(1-param_PS_LayMortWeekly)^INT((Z$17-$H24)/7),0),0),0),0)</f>
        <v/>
      </c>
      <c r="AA33" s="44">
        <f>IFERROR(ROUND(IFERROR(IF(AND(AA$17&gt;=$H19,AA$17&lt;=$I19,$D19&gt;0),$J19*(1-param_PS_LayMortWeekly)^INT((AA$17-$H19)/7),0),0)+IFERROR(IF(AND(AA$17&gt;=$H20,AA$17&lt;=$I20,$D20&gt;0),$J20*(1-param_PS_LayMortWeekly)^INT((AA$17-$H20)/7),0),0)+IFERROR(IF(AND(AA$17&gt;=$H21,AA$17&lt;=$I21,$D21&gt;0),$J21*(1-param_PS_LayMortWeekly)^INT((AA$17-$H21)/7),0),0)+IFERROR(IF(AND(AA$17&gt;=$H22,AA$17&lt;=$I22,$D22&gt;0),$J22*(1-param_PS_LayMortWeekly)^INT((AA$17-$H22)/7),0),0)+IFERROR(IF(AND(AA$17&gt;=$H23,AA$17&lt;=$I23,$D23&gt;0),$J23*(1-param_PS_LayMortWeekly)^INT((AA$17-$H23)/7),0),0)+IFERROR(IF(AND(AA$17&gt;=$H24,AA$17&lt;=$I24,$D24&gt;0),$J24*(1-param_PS_LayMortWeekly)^INT((AA$17-$H24)/7),0),0),0),0)</f>
        <v/>
      </c>
      <c r="AB33" s="44">
        <f>IFERROR(ROUND(IFERROR(IF(AND(AB$17&gt;=$H19,AB$17&lt;=$I19,$D19&gt;0),$J19*(1-param_PS_LayMortWeekly)^INT((AB$17-$H19)/7),0),0)+IFERROR(IF(AND(AB$17&gt;=$H20,AB$17&lt;=$I20,$D20&gt;0),$J20*(1-param_PS_LayMortWeekly)^INT((AB$17-$H20)/7),0),0)+IFERROR(IF(AND(AB$17&gt;=$H21,AB$17&lt;=$I21,$D21&gt;0),$J21*(1-param_PS_LayMortWeekly)^INT((AB$17-$H21)/7),0),0)+IFERROR(IF(AND(AB$17&gt;=$H22,AB$17&lt;=$I22,$D22&gt;0),$J22*(1-param_PS_LayMortWeekly)^INT((AB$17-$H22)/7),0),0)+IFERROR(IF(AND(AB$17&gt;=$H23,AB$17&lt;=$I23,$D23&gt;0),$J23*(1-param_PS_LayMortWeekly)^INT((AB$17-$H23)/7),0),0)+IFERROR(IF(AND(AB$17&gt;=$H24,AB$17&lt;=$I24,$D24&gt;0),$J24*(1-param_PS_LayMortWeekly)^INT((AB$17-$H24)/7),0),0),0),0)</f>
        <v/>
      </c>
      <c r="AC33" s="44">
        <f>IFERROR(ROUND(IFERROR(IF(AND(AC$17&gt;=$H19,AC$17&lt;=$I19,$D19&gt;0),$J19*(1-param_PS_LayMortWeekly)^INT((AC$17-$H19)/7),0),0)+IFERROR(IF(AND(AC$17&gt;=$H20,AC$17&lt;=$I20,$D20&gt;0),$J20*(1-param_PS_LayMortWeekly)^INT((AC$17-$H20)/7),0),0)+IFERROR(IF(AND(AC$17&gt;=$H21,AC$17&lt;=$I21,$D21&gt;0),$J21*(1-param_PS_LayMortWeekly)^INT((AC$17-$H21)/7),0),0)+IFERROR(IF(AND(AC$17&gt;=$H22,AC$17&lt;=$I22,$D22&gt;0),$J22*(1-param_PS_LayMortWeekly)^INT((AC$17-$H22)/7),0),0)+IFERROR(IF(AND(AC$17&gt;=$H23,AC$17&lt;=$I23,$D23&gt;0),$J23*(1-param_PS_LayMortWeekly)^INT((AC$17-$H23)/7),0),0)+IFERROR(IF(AND(AC$17&gt;=$H24,AC$17&lt;=$I24,$D24&gt;0),$J24*(1-param_PS_LayMortWeekly)^INT((AC$17-$H24)/7),0),0),0),0)</f>
        <v/>
      </c>
      <c r="AD33" s="44">
        <f>IFERROR(ROUND(IFERROR(IF(AND(AD$17&gt;=$H19,AD$17&lt;=$I19,$D19&gt;0),$J19*(1-param_PS_LayMortWeekly)^INT((AD$17-$H19)/7),0),0)+IFERROR(IF(AND(AD$17&gt;=$H20,AD$17&lt;=$I20,$D20&gt;0),$J20*(1-param_PS_LayMortWeekly)^INT((AD$17-$H20)/7),0),0)+IFERROR(IF(AND(AD$17&gt;=$H21,AD$17&lt;=$I21,$D21&gt;0),$J21*(1-param_PS_LayMortWeekly)^INT((AD$17-$H21)/7),0),0)+IFERROR(IF(AND(AD$17&gt;=$H22,AD$17&lt;=$I22,$D22&gt;0),$J22*(1-param_PS_LayMortWeekly)^INT((AD$17-$H22)/7),0),0)+IFERROR(IF(AND(AD$17&gt;=$H23,AD$17&lt;=$I23,$D23&gt;0),$J23*(1-param_PS_LayMortWeekly)^INT((AD$17-$H23)/7),0),0)+IFERROR(IF(AND(AD$17&gt;=$H24,AD$17&lt;=$I24,$D24&gt;0),$J24*(1-param_PS_LayMortWeekly)^INT((AD$17-$H24)/7),0),0),0),0)</f>
        <v/>
      </c>
      <c r="AE33" s="44">
        <f>IFERROR(ROUND(IFERROR(IF(AND(AE$17&gt;=$H19,AE$17&lt;=$I19,$D19&gt;0),$J19*(1-param_PS_LayMortWeekly)^INT((AE$17-$H19)/7),0),0)+IFERROR(IF(AND(AE$17&gt;=$H20,AE$17&lt;=$I20,$D20&gt;0),$J20*(1-param_PS_LayMortWeekly)^INT((AE$17-$H20)/7),0),0)+IFERROR(IF(AND(AE$17&gt;=$H21,AE$17&lt;=$I21,$D21&gt;0),$J21*(1-param_PS_LayMortWeekly)^INT((AE$17-$H21)/7),0),0)+IFERROR(IF(AND(AE$17&gt;=$H22,AE$17&lt;=$I22,$D22&gt;0),$J22*(1-param_PS_LayMortWeekly)^INT((AE$17-$H22)/7),0),0)+IFERROR(IF(AND(AE$17&gt;=$H23,AE$17&lt;=$I23,$D23&gt;0),$J23*(1-param_PS_LayMortWeekly)^INT((AE$17-$H23)/7),0),0)+IFERROR(IF(AND(AE$17&gt;=$H24,AE$17&lt;=$I24,$D24&gt;0),$J24*(1-param_PS_LayMortWeekly)^INT((AE$17-$H24)/7),0),0),0),0)</f>
        <v/>
      </c>
      <c r="AF33" s="44">
        <f>IFERROR(ROUND(IFERROR(IF(AND(AF$17&gt;=$H19,AF$17&lt;=$I19,$D19&gt;0),$J19*(1-param_PS_LayMortWeekly)^INT((AF$17-$H19)/7),0),0)+IFERROR(IF(AND(AF$17&gt;=$H20,AF$17&lt;=$I20,$D20&gt;0),$J20*(1-param_PS_LayMortWeekly)^INT((AF$17-$H20)/7),0),0)+IFERROR(IF(AND(AF$17&gt;=$H21,AF$17&lt;=$I21,$D21&gt;0),$J21*(1-param_PS_LayMortWeekly)^INT((AF$17-$H21)/7),0),0)+IFERROR(IF(AND(AF$17&gt;=$H22,AF$17&lt;=$I22,$D22&gt;0),$J22*(1-param_PS_LayMortWeekly)^INT((AF$17-$H22)/7),0),0)+IFERROR(IF(AND(AF$17&gt;=$H23,AF$17&lt;=$I23,$D23&gt;0),$J23*(1-param_PS_LayMortWeekly)^INT((AF$17-$H23)/7),0),0)+IFERROR(IF(AND(AF$17&gt;=$H24,AF$17&lt;=$I24,$D24&gt;0),$J24*(1-param_PS_LayMortWeekly)^INT((AF$17-$H24)/7),0),0),0),0)</f>
        <v/>
      </c>
      <c r="AG33" s="44">
        <f>IFERROR(ROUND(IFERROR(IF(AND(AG$17&gt;=$H19,AG$17&lt;=$I19,$D19&gt;0),$J19*(1-param_PS_LayMortWeekly)^INT((AG$17-$H19)/7),0),0)+IFERROR(IF(AND(AG$17&gt;=$H20,AG$17&lt;=$I20,$D20&gt;0),$J20*(1-param_PS_LayMortWeekly)^INT((AG$17-$H20)/7),0),0)+IFERROR(IF(AND(AG$17&gt;=$H21,AG$17&lt;=$I21,$D21&gt;0),$J21*(1-param_PS_LayMortWeekly)^INT((AG$17-$H21)/7),0),0)+IFERROR(IF(AND(AG$17&gt;=$H22,AG$17&lt;=$I22,$D22&gt;0),$J22*(1-param_PS_LayMortWeekly)^INT((AG$17-$H22)/7),0),0)+IFERROR(IF(AND(AG$17&gt;=$H23,AG$17&lt;=$I23,$D23&gt;0),$J23*(1-param_PS_LayMortWeekly)^INT((AG$17-$H23)/7),0),0)+IFERROR(IF(AND(AG$17&gt;=$H24,AG$17&lt;=$I24,$D24&gt;0),$J24*(1-param_PS_LayMortWeekly)^INT((AG$17-$H24)/7),0),0),0),0)</f>
        <v/>
      </c>
      <c r="AH33" s="44">
        <f>IFERROR(ROUND(IFERROR(IF(AND(AH$17&gt;=$H19,AH$17&lt;=$I19,$D19&gt;0),$J19*(1-param_PS_LayMortWeekly)^INT((AH$17-$H19)/7),0),0)+IFERROR(IF(AND(AH$17&gt;=$H20,AH$17&lt;=$I20,$D20&gt;0),$J20*(1-param_PS_LayMortWeekly)^INT((AH$17-$H20)/7),0),0)+IFERROR(IF(AND(AH$17&gt;=$H21,AH$17&lt;=$I21,$D21&gt;0),$J21*(1-param_PS_LayMortWeekly)^INT((AH$17-$H21)/7),0),0)+IFERROR(IF(AND(AH$17&gt;=$H22,AH$17&lt;=$I22,$D22&gt;0),$J22*(1-param_PS_LayMortWeekly)^INT((AH$17-$H22)/7),0),0)+IFERROR(IF(AND(AH$17&gt;=$H23,AH$17&lt;=$I23,$D23&gt;0),$J23*(1-param_PS_LayMortWeekly)^INT((AH$17-$H23)/7),0),0)+IFERROR(IF(AND(AH$17&gt;=$H24,AH$17&lt;=$I24,$D24&gt;0),$J24*(1-param_PS_LayMortWeekly)^INT((AH$17-$H24)/7),0),0),0),0)</f>
        <v/>
      </c>
      <c r="AI33" s="44">
        <f>IFERROR(ROUND(IFERROR(IF(AND(AI$17&gt;=$H19,AI$17&lt;=$I19,$D19&gt;0),$J19*(1-param_PS_LayMortWeekly)^INT((AI$17-$H19)/7),0),0)+IFERROR(IF(AND(AI$17&gt;=$H20,AI$17&lt;=$I20,$D20&gt;0),$J20*(1-param_PS_LayMortWeekly)^INT((AI$17-$H20)/7),0),0)+IFERROR(IF(AND(AI$17&gt;=$H21,AI$17&lt;=$I21,$D21&gt;0),$J21*(1-param_PS_LayMortWeekly)^INT((AI$17-$H21)/7),0),0)+IFERROR(IF(AND(AI$17&gt;=$H22,AI$17&lt;=$I22,$D22&gt;0),$J22*(1-param_PS_LayMortWeekly)^INT((AI$17-$H22)/7),0),0)+IFERROR(IF(AND(AI$17&gt;=$H23,AI$17&lt;=$I23,$D23&gt;0),$J23*(1-param_PS_LayMortWeekly)^INT((AI$17-$H23)/7),0),0)+IFERROR(IF(AND(AI$17&gt;=$H24,AI$17&lt;=$I24,$D24&gt;0),$J24*(1-param_PS_LayMortWeekly)^INT((AI$17-$H24)/7),0),0),0),0)</f>
        <v/>
      </c>
      <c r="AJ33" s="44">
        <f>IFERROR(ROUND(IFERROR(IF(AND(AJ$17&gt;=$H19,AJ$17&lt;=$I19,$D19&gt;0),$J19*(1-param_PS_LayMortWeekly)^INT((AJ$17-$H19)/7),0),0)+IFERROR(IF(AND(AJ$17&gt;=$H20,AJ$17&lt;=$I20,$D20&gt;0),$J20*(1-param_PS_LayMortWeekly)^INT((AJ$17-$H20)/7),0),0)+IFERROR(IF(AND(AJ$17&gt;=$H21,AJ$17&lt;=$I21,$D21&gt;0),$J21*(1-param_PS_LayMortWeekly)^INT((AJ$17-$H21)/7),0),0)+IFERROR(IF(AND(AJ$17&gt;=$H22,AJ$17&lt;=$I22,$D22&gt;0),$J22*(1-param_PS_LayMortWeekly)^INT((AJ$17-$H22)/7),0),0)+IFERROR(IF(AND(AJ$17&gt;=$H23,AJ$17&lt;=$I23,$D23&gt;0),$J23*(1-param_PS_LayMortWeekly)^INT((AJ$17-$H23)/7),0),0)+IFERROR(IF(AND(AJ$17&gt;=$H24,AJ$17&lt;=$I24,$D24&gt;0),$J24*(1-param_PS_LayMortWeekly)^INT((AJ$17-$H24)/7),0),0),0),0)</f>
        <v/>
      </c>
      <c r="AK33" s="44">
        <f>IFERROR(ROUND(IFERROR(IF(AND(AK$17&gt;=$H19,AK$17&lt;=$I19,$D19&gt;0),$J19*(1-param_PS_LayMortWeekly)^INT((AK$17-$H19)/7),0),0)+IFERROR(IF(AND(AK$17&gt;=$H20,AK$17&lt;=$I20,$D20&gt;0),$J20*(1-param_PS_LayMortWeekly)^INT((AK$17-$H20)/7),0),0)+IFERROR(IF(AND(AK$17&gt;=$H21,AK$17&lt;=$I21,$D21&gt;0),$J21*(1-param_PS_LayMortWeekly)^INT((AK$17-$H21)/7),0),0)+IFERROR(IF(AND(AK$17&gt;=$H22,AK$17&lt;=$I22,$D22&gt;0),$J22*(1-param_PS_LayMortWeekly)^INT((AK$17-$H22)/7),0),0)+IFERROR(IF(AND(AK$17&gt;=$H23,AK$17&lt;=$I23,$D23&gt;0),$J23*(1-param_PS_LayMortWeekly)^INT((AK$17-$H23)/7),0),0)+IFERROR(IF(AND(AK$17&gt;=$H24,AK$17&lt;=$I24,$D24&gt;0),$J24*(1-param_PS_LayMortWeekly)^INT((AK$17-$H24)/7),0),0),0),0)</f>
        <v/>
      </c>
      <c r="AL33" s="44">
        <f>IFERROR(ROUND(IFERROR(IF(AND(AL$17&gt;=$H19,AL$17&lt;=$I19,$D19&gt;0),$J19*(1-param_PS_LayMortWeekly)^INT((AL$17-$H19)/7),0),0)+IFERROR(IF(AND(AL$17&gt;=$H20,AL$17&lt;=$I20,$D20&gt;0),$J20*(1-param_PS_LayMortWeekly)^INT((AL$17-$H20)/7),0),0)+IFERROR(IF(AND(AL$17&gt;=$H21,AL$17&lt;=$I21,$D21&gt;0),$J21*(1-param_PS_LayMortWeekly)^INT((AL$17-$H21)/7),0),0)+IFERROR(IF(AND(AL$17&gt;=$H22,AL$17&lt;=$I22,$D22&gt;0),$J22*(1-param_PS_LayMortWeekly)^INT((AL$17-$H22)/7),0),0)+IFERROR(IF(AND(AL$17&gt;=$H23,AL$17&lt;=$I23,$D23&gt;0),$J23*(1-param_PS_LayMortWeekly)^INT((AL$17-$H23)/7),0),0)+IFERROR(IF(AND(AL$17&gt;=$H24,AL$17&lt;=$I24,$D24&gt;0),$J24*(1-param_PS_LayMortWeekly)^INT((AL$17-$H24)/7),0),0),0),0)</f>
        <v/>
      </c>
      <c r="AM33" s="44">
        <f>IFERROR(ROUND(IFERROR(IF(AND(AM$17&gt;=$H19,AM$17&lt;=$I19,$D19&gt;0),$J19*(1-param_PS_LayMortWeekly)^INT((AM$17-$H19)/7),0),0)+IFERROR(IF(AND(AM$17&gt;=$H20,AM$17&lt;=$I20,$D20&gt;0),$J20*(1-param_PS_LayMortWeekly)^INT((AM$17-$H20)/7),0),0)+IFERROR(IF(AND(AM$17&gt;=$H21,AM$17&lt;=$I21,$D21&gt;0),$J21*(1-param_PS_LayMortWeekly)^INT((AM$17-$H21)/7),0),0)+IFERROR(IF(AND(AM$17&gt;=$H22,AM$17&lt;=$I22,$D22&gt;0),$J22*(1-param_PS_LayMortWeekly)^INT((AM$17-$H22)/7),0),0)+IFERROR(IF(AND(AM$17&gt;=$H23,AM$17&lt;=$I23,$D23&gt;0),$J23*(1-param_PS_LayMortWeekly)^INT((AM$17-$H23)/7),0),0)+IFERROR(IF(AND(AM$17&gt;=$H24,AM$17&lt;=$I24,$D24&gt;0),$J24*(1-param_PS_LayMortWeekly)^INT((AM$17-$H24)/7),0),0),0),0)</f>
        <v/>
      </c>
      <c r="AN33" s="44">
        <f>IFERROR(ROUND(IFERROR(IF(AND(AN$17&gt;=$H19,AN$17&lt;=$I19,$D19&gt;0),$J19*(1-param_PS_LayMortWeekly)^INT((AN$17-$H19)/7),0),0)+IFERROR(IF(AND(AN$17&gt;=$H20,AN$17&lt;=$I20,$D20&gt;0),$J20*(1-param_PS_LayMortWeekly)^INT((AN$17-$H20)/7),0),0)+IFERROR(IF(AND(AN$17&gt;=$H21,AN$17&lt;=$I21,$D21&gt;0),$J21*(1-param_PS_LayMortWeekly)^INT((AN$17-$H21)/7),0),0)+IFERROR(IF(AND(AN$17&gt;=$H22,AN$17&lt;=$I22,$D22&gt;0),$J22*(1-param_PS_LayMortWeekly)^INT((AN$17-$H22)/7),0),0)+IFERROR(IF(AND(AN$17&gt;=$H23,AN$17&lt;=$I23,$D23&gt;0),$J23*(1-param_PS_LayMortWeekly)^INT((AN$17-$H23)/7),0),0)+IFERROR(IF(AND(AN$17&gt;=$H24,AN$17&lt;=$I24,$D24&gt;0),$J24*(1-param_PS_LayMortWeekly)^INT((AN$17-$H24)/7),0),0),0),0)</f>
        <v/>
      </c>
      <c r="AO33" s="44">
        <f>IFERROR(ROUND(IFERROR(IF(AND(AO$17&gt;=$H19,AO$17&lt;=$I19,$D19&gt;0),$J19*(1-param_PS_LayMortWeekly)^INT((AO$17-$H19)/7),0),0)+IFERROR(IF(AND(AO$17&gt;=$H20,AO$17&lt;=$I20,$D20&gt;0),$J20*(1-param_PS_LayMortWeekly)^INT((AO$17-$H20)/7),0),0)+IFERROR(IF(AND(AO$17&gt;=$H21,AO$17&lt;=$I21,$D21&gt;0),$J21*(1-param_PS_LayMortWeekly)^INT((AO$17-$H21)/7),0),0)+IFERROR(IF(AND(AO$17&gt;=$H22,AO$17&lt;=$I22,$D22&gt;0),$J22*(1-param_PS_LayMortWeekly)^INT((AO$17-$H22)/7),0),0)+IFERROR(IF(AND(AO$17&gt;=$H23,AO$17&lt;=$I23,$D23&gt;0),$J23*(1-param_PS_LayMortWeekly)^INT((AO$17-$H23)/7),0),0)+IFERROR(IF(AND(AO$17&gt;=$H24,AO$17&lt;=$I24,$D24&gt;0),$J24*(1-param_PS_LayMortWeekly)^INT((AO$17-$H24)/7),0),0),0),0)</f>
        <v/>
      </c>
      <c r="AP33" s="44">
        <f>IFERROR(ROUND(IFERROR(IF(AND(AP$17&gt;=$H19,AP$17&lt;=$I19,$D19&gt;0),$J19*(1-param_PS_LayMortWeekly)^INT((AP$17-$H19)/7),0),0)+IFERROR(IF(AND(AP$17&gt;=$H20,AP$17&lt;=$I20,$D20&gt;0),$J20*(1-param_PS_LayMortWeekly)^INT((AP$17-$H20)/7),0),0)+IFERROR(IF(AND(AP$17&gt;=$H21,AP$17&lt;=$I21,$D21&gt;0),$J21*(1-param_PS_LayMortWeekly)^INT((AP$17-$H21)/7),0),0)+IFERROR(IF(AND(AP$17&gt;=$H22,AP$17&lt;=$I22,$D22&gt;0),$J22*(1-param_PS_LayMortWeekly)^INT((AP$17-$H22)/7),0),0)+IFERROR(IF(AND(AP$17&gt;=$H23,AP$17&lt;=$I23,$D23&gt;0),$J23*(1-param_PS_LayMortWeekly)^INT((AP$17-$H23)/7),0),0)+IFERROR(IF(AND(AP$17&gt;=$H24,AP$17&lt;=$I24,$D24&gt;0),$J24*(1-param_PS_LayMortWeekly)^INT((AP$17-$H24)/7),0),0),0),0)</f>
        <v/>
      </c>
      <c r="AQ33" s="44">
        <f>IFERROR(ROUND(IFERROR(IF(AND(AQ$17&gt;=$H19,AQ$17&lt;=$I19,$D19&gt;0),$J19*(1-param_PS_LayMortWeekly)^INT((AQ$17-$H19)/7),0),0)+IFERROR(IF(AND(AQ$17&gt;=$H20,AQ$17&lt;=$I20,$D20&gt;0),$J20*(1-param_PS_LayMortWeekly)^INT((AQ$17-$H20)/7),0),0)+IFERROR(IF(AND(AQ$17&gt;=$H21,AQ$17&lt;=$I21,$D21&gt;0),$J21*(1-param_PS_LayMortWeekly)^INT((AQ$17-$H21)/7),0),0)+IFERROR(IF(AND(AQ$17&gt;=$H22,AQ$17&lt;=$I22,$D22&gt;0),$J22*(1-param_PS_LayMortWeekly)^INT((AQ$17-$H22)/7),0),0)+IFERROR(IF(AND(AQ$17&gt;=$H23,AQ$17&lt;=$I23,$D23&gt;0),$J23*(1-param_PS_LayMortWeekly)^INT((AQ$17-$H23)/7),0),0)+IFERROR(IF(AND(AQ$17&gt;=$H24,AQ$17&lt;=$I24,$D24&gt;0),$J24*(1-param_PS_LayMortWeekly)^INT((AQ$17-$H24)/7),0),0),0),0)</f>
        <v/>
      </c>
      <c r="AR33" s="44">
        <f>IFERROR(ROUND(IFERROR(IF(AND(AR$17&gt;=$H19,AR$17&lt;=$I19,$D19&gt;0),$J19*(1-param_PS_LayMortWeekly)^INT((AR$17-$H19)/7),0),0)+IFERROR(IF(AND(AR$17&gt;=$H20,AR$17&lt;=$I20,$D20&gt;0),$J20*(1-param_PS_LayMortWeekly)^INT((AR$17-$H20)/7),0),0)+IFERROR(IF(AND(AR$17&gt;=$H21,AR$17&lt;=$I21,$D21&gt;0),$J21*(1-param_PS_LayMortWeekly)^INT((AR$17-$H21)/7),0),0)+IFERROR(IF(AND(AR$17&gt;=$H22,AR$17&lt;=$I22,$D22&gt;0),$J22*(1-param_PS_LayMortWeekly)^INT((AR$17-$H22)/7),0),0)+IFERROR(IF(AND(AR$17&gt;=$H23,AR$17&lt;=$I23,$D23&gt;0),$J23*(1-param_PS_LayMortWeekly)^INT((AR$17-$H23)/7),0),0)+IFERROR(IF(AND(AR$17&gt;=$H24,AR$17&lt;=$I24,$D24&gt;0),$J24*(1-param_PS_LayMortWeekly)^INT((AR$17-$H24)/7),0),0),0),0)</f>
        <v/>
      </c>
      <c r="AS33" s="44">
        <f>IFERROR(ROUND(IFERROR(IF(AND(AS$17&gt;=$H19,AS$17&lt;=$I19,$D19&gt;0),$J19*(1-param_PS_LayMortWeekly)^INT((AS$17-$H19)/7),0),0)+IFERROR(IF(AND(AS$17&gt;=$H20,AS$17&lt;=$I20,$D20&gt;0),$J20*(1-param_PS_LayMortWeekly)^INT((AS$17-$H20)/7),0),0)+IFERROR(IF(AND(AS$17&gt;=$H21,AS$17&lt;=$I21,$D21&gt;0),$J21*(1-param_PS_LayMortWeekly)^INT((AS$17-$H21)/7),0),0)+IFERROR(IF(AND(AS$17&gt;=$H22,AS$17&lt;=$I22,$D22&gt;0),$J22*(1-param_PS_LayMortWeekly)^INT((AS$17-$H22)/7),0),0)+IFERROR(IF(AND(AS$17&gt;=$H23,AS$17&lt;=$I23,$D23&gt;0),$J23*(1-param_PS_LayMortWeekly)^INT((AS$17-$H23)/7),0),0)+IFERROR(IF(AND(AS$17&gt;=$H24,AS$17&lt;=$I24,$D24&gt;0),$J24*(1-param_PS_LayMortWeekly)^INT((AS$17-$H24)/7),0),0),0),0)</f>
        <v/>
      </c>
      <c r="AT33" s="44">
        <f>IFERROR(ROUND(IFERROR(IF(AND(AT$17&gt;=$H19,AT$17&lt;=$I19,$D19&gt;0),$J19*(1-param_PS_LayMortWeekly)^INT((AT$17-$H19)/7),0),0)+IFERROR(IF(AND(AT$17&gt;=$H20,AT$17&lt;=$I20,$D20&gt;0),$J20*(1-param_PS_LayMortWeekly)^INT((AT$17-$H20)/7),0),0)+IFERROR(IF(AND(AT$17&gt;=$H21,AT$17&lt;=$I21,$D21&gt;0),$J21*(1-param_PS_LayMortWeekly)^INT((AT$17-$H21)/7),0),0)+IFERROR(IF(AND(AT$17&gt;=$H22,AT$17&lt;=$I22,$D22&gt;0),$J22*(1-param_PS_LayMortWeekly)^INT((AT$17-$H22)/7),0),0)+IFERROR(IF(AND(AT$17&gt;=$H23,AT$17&lt;=$I23,$D23&gt;0),$J23*(1-param_PS_LayMortWeekly)^INT((AT$17-$H23)/7),0),0)+IFERROR(IF(AND(AT$17&gt;=$H24,AT$17&lt;=$I24,$D24&gt;0),$J24*(1-param_PS_LayMortWeekly)^INT((AT$17-$H24)/7),0),0),0),0)</f>
        <v/>
      </c>
      <c r="AU33" s="44">
        <f>IFERROR(ROUND(IFERROR(IF(AND(AU$17&gt;=$H19,AU$17&lt;=$I19,$D19&gt;0),$J19*(1-param_PS_LayMortWeekly)^INT((AU$17-$H19)/7),0),0)+IFERROR(IF(AND(AU$17&gt;=$H20,AU$17&lt;=$I20,$D20&gt;0),$J20*(1-param_PS_LayMortWeekly)^INT((AU$17-$H20)/7),0),0)+IFERROR(IF(AND(AU$17&gt;=$H21,AU$17&lt;=$I21,$D21&gt;0),$J21*(1-param_PS_LayMortWeekly)^INT((AU$17-$H21)/7),0),0)+IFERROR(IF(AND(AU$17&gt;=$H22,AU$17&lt;=$I22,$D22&gt;0),$J22*(1-param_PS_LayMortWeekly)^INT((AU$17-$H22)/7),0),0)+IFERROR(IF(AND(AU$17&gt;=$H23,AU$17&lt;=$I23,$D23&gt;0),$J23*(1-param_PS_LayMortWeekly)^INT((AU$17-$H23)/7),0),0)+IFERROR(IF(AND(AU$17&gt;=$H24,AU$17&lt;=$I24,$D24&gt;0),$J24*(1-param_PS_LayMortWeekly)^INT((AU$17-$H24)/7),0),0),0),0)</f>
        <v/>
      </c>
      <c r="AV33" s="44">
        <f>IFERROR(ROUND(IFERROR(IF(AND(AV$17&gt;=$H19,AV$17&lt;=$I19,$D19&gt;0),$J19*(1-param_PS_LayMortWeekly)^INT((AV$17-$H19)/7),0),0)+IFERROR(IF(AND(AV$17&gt;=$H20,AV$17&lt;=$I20,$D20&gt;0),$J20*(1-param_PS_LayMortWeekly)^INT((AV$17-$H20)/7),0),0)+IFERROR(IF(AND(AV$17&gt;=$H21,AV$17&lt;=$I21,$D21&gt;0),$J21*(1-param_PS_LayMortWeekly)^INT((AV$17-$H21)/7),0),0)+IFERROR(IF(AND(AV$17&gt;=$H22,AV$17&lt;=$I22,$D22&gt;0),$J22*(1-param_PS_LayMortWeekly)^INT((AV$17-$H22)/7),0),0)+IFERROR(IF(AND(AV$17&gt;=$H23,AV$17&lt;=$I23,$D23&gt;0),$J23*(1-param_PS_LayMortWeekly)^INT((AV$17-$H23)/7),0),0)+IFERROR(IF(AND(AV$17&gt;=$H24,AV$17&lt;=$I24,$D24&gt;0),$J24*(1-param_PS_LayMortWeekly)^INT((AV$17-$H24)/7),0),0),0),0)</f>
        <v/>
      </c>
      <c r="AW33" s="44">
        <f>IFERROR(ROUND(IFERROR(IF(AND(AW$17&gt;=$H19,AW$17&lt;=$I19,$D19&gt;0),$J19*(1-param_PS_LayMortWeekly)^INT((AW$17-$H19)/7),0),0)+IFERROR(IF(AND(AW$17&gt;=$H20,AW$17&lt;=$I20,$D20&gt;0),$J20*(1-param_PS_LayMortWeekly)^INT((AW$17-$H20)/7),0),0)+IFERROR(IF(AND(AW$17&gt;=$H21,AW$17&lt;=$I21,$D21&gt;0),$J21*(1-param_PS_LayMortWeekly)^INT((AW$17-$H21)/7),0),0)+IFERROR(IF(AND(AW$17&gt;=$H22,AW$17&lt;=$I22,$D22&gt;0),$J22*(1-param_PS_LayMortWeekly)^INT((AW$17-$H22)/7),0),0)+IFERROR(IF(AND(AW$17&gt;=$H23,AW$17&lt;=$I23,$D23&gt;0),$J23*(1-param_PS_LayMortWeekly)^INT((AW$17-$H23)/7),0),0)+IFERROR(IF(AND(AW$17&gt;=$H24,AW$17&lt;=$I24,$D24&gt;0),$J24*(1-param_PS_LayMortWeekly)^INT((AW$17-$H24)/7),0),0),0),0)</f>
        <v/>
      </c>
      <c r="AX33" s="44">
        <f>IFERROR(ROUND(IFERROR(IF(AND(AX$17&gt;=$H19,AX$17&lt;=$I19,$D19&gt;0),$J19*(1-param_PS_LayMortWeekly)^INT((AX$17-$H19)/7),0),0)+IFERROR(IF(AND(AX$17&gt;=$H20,AX$17&lt;=$I20,$D20&gt;0),$J20*(1-param_PS_LayMortWeekly)^INT((AX$17-$H20)/7),0),0)+IFERROR(IF(AND(AX$17&gt;=$H21,AX$17&lt;=$I21,$D21&gt;0),$J21*(1-param_PS_LayMortWeekly)^INT((AX$17-$H21)/7),0),0)+IFERROR(IF(AND(AX$17&gt;=$H22,AX$17&lt;=$I22,$D22&gt;0),$J22*(1-param_PS_LayMortWeekly)^INT((AX$17-$H22)/7),0),0)+IFERROR(IF(AND(AX$17&gt;=$H23,AX$17&lt;=$I23,$D23&gt;0),$J23*(1-param_PS_LayMortWeekly)^INT((AX$17-$H23)/7),0),0)+IFERROR(IF(AND(AX$17&gt;=$H24,AX$17&lt;=$I24,$D24&gt;0),$J24*(1-param_PS_LayMortWeekly)^INT((AX$17-$H24)/7),0),0),0),0)</f>
        <v/>
      </c>
      <c r="AY33" s="44">
        <f>IFERROR(ROUND(IFERROR(IF(AND(AY$17&gt;=$H19,AY$17&lt;=$I19,$D19&gt;0),$J19*(1-param_PS_LayMortWeekly)^INT((AY$17-$H19)/7),0),0)+IFERROR(IF(AND(AY$17&gt;=$H20,AY$17&lt;=$I20,$D20&gt;0),$J20*(1-param_PS_LayMortWeekly)^INT((AY$17-$H20)/7),0),0)+IFERROR(IF(AND(AY$17&gt;=$H21,AY$17&lt;=$I21,$D21&gt;0),$J21*(1-param_PS_LayMortWeekly)^INT((AY$17-$H21)/7),0),0)+IFERROR(IF(AND(AY$17&gt;=$H22,AY$17&lt;=$I22,$D22&gt;0),$J22*(1-param_PS_LayMortWeekly)^INT((AY$17-$H22)/7),0),0)+IFERROR(IF(AND(AY$17&gt;=$H23,AY$17&lt;=$I23,$D23&gt;0),$J23*(1-param_PS_LayMortWeekly)^INT((AY$17-$H23)/7),0),0)+IFERROR(IF(AND(AY$17&gt;=$H24,AY$17&lt;=$I24,$D24&gt;0),$J24*(1-param_PS_LayMortWeekly)^INT((AY$17-$H24)/7),0),0),0),0)</f>
        <v/>
      </c>
      <c r="AZ33" s="44">
        <f>IFERROR(ROUND(IFERROR(IF(AND(AZ$17&gt;=$H19,AZ$17&lt;=$I19,$D19&gt;0),$J19*(1-param_PS_LayMortWeekly)^INT((AZ$17-$H19)/7),0),0)+IFERROR(IF(AND(AZ$17&gt;=$H20,AZ$17&lt;=$I20,$D20&gt;0),$J20*(1-param_PS_LayMortWeekly)^INT((AZ$17-$H20)/7),0),0)+IFERROR(IF(AND(AZ$17&gt;=$H21,AZ$17&lt;=$I21,$D21&gt;0),$J21*(1-param_PS_LayMortWeekly)^INT((AZ$17-$H21)/7),0),0)+IFERROR(IF(AND(AZ$17&gt;=$H22,AZ$17&lt;=$I22,$D22&gt;0),$J22*(1-param_PS_LayMortWeekly)^INT((AZ$17-$H22)/7),0),0)+IFERROR(IF(AND(AZ$17&gt;=$H23,AZ$17&lt;=$I23,$D23&gt;0),$J23*(1-param_PS_LayMortWeekly)^INT((AZ$17-$H23)/7),0),0)+IFERROR(IF(AND(AZ$17&gt;=$H24,AZ$17&lt;=$I24,$D24&gt;0),$J24*(1-param_PS_LayMortWeekly)^INT((AZ$17-$H24)/7),0),0),0),0)</f>
        <v/>
      </c>
      <c r="BA33" s="44">
        <f>IFERROR(ROUND(IFERROR(IF(AND(BA$17&gt;=$H19,BA$17&lt;=$I19,$D19&gt;0),$J19*(1-param_PS_LayMortWeekly)^INT((BA$17-$H19)/7),0),0)+IFERROR(IF(AND(BA$17&gt;=$H20,BA$17&lt;=$I20,$D20&gt;0),$J20*(1-param_PS_LayMortWeekly)^INT((BA$17-$H20)/7),0),0)+IFERROR(IF(AND(BA$17&gt;=$H21,BA$17&lt;=$I21,$D21&gt;0),$J21*(1-param_PS_LayMortWeekly)^INT((BA$17-$H21)/7),0),0)+IFERROR(IF(AND(BA$17&gt;=$H22,BA$17&lt;=$I22,$D22&gt;0),$J22*(1-param_PS_LayMortWeekly)^INT((BA$17-$H22)/7),0),0)+IFERROR(IF(AND(BA$17&gt;=$H23,BA$17&lt;=$I23,$D23&gt;0),$J23*(1-param_PS_LayMortWeekly)^INT((BA$17-$H23)/7),0),0)+IFERROR(IF(AND(BA$17&gt;=$H24,BA$17&lt;=$I24,$D24&gt;0),$J24*(1-param_PS_LayMortWeekly)^INT((BA$17-$H24)/7),0),0),0),0)</f>
        <v/>
      </c>
      <c r="BB33" s="44">
        <f>IFERROR(ROUND(IFERROR(IF(AND(BB$17&gt;=$H19,BB$17&lt;=$I19,$D19&gt;0),$J19*(1-param_PS_LayMortWeekly)^INT((BB$17-$H19)/7),0),0)+IFERROR(IF(AND(BB$17&gt;=$H20,BB$17&lt;=$I20,$D20&gt;0),$J20*(1-param_PS_LayMortWeekly)^INT((BB$17-$H20)/7),0),0)+IFERROR(IF(AND(BB$17&gt;=$H21,BB$17&lt;=$I21,$D21&gt;0),$J21*(1-param_PS_LayMortWeekly)^INT((BB$17-$H21)/7),0),0)+IFERROR(IF(AND(BB$17&gt;=$H22,BB$17&lt;=$I22,$D22&gt;0),$J22*(1-param_PS_LayMortWeekly)^INT((BB$17-$H22)/7),0),0)+IFERROR(IF(AND(BB$17&gt;=$H23,BB$17&lt;=$I23,$D23&gt;0),$J23*(1-param_PS_LayMortWeekly)^INT((BB$17-$H23)/7),0),0)+IFERROR(IF(AND(BB$17&gt;=$H24,BB$17&lt;=$I24,$D24&gt;0),$J24*(1-param_PS_LayMortWeekly)^INT((BB$17-$H24)/7),0),0),0),0)</f>
        <v/>
      </c>
      <c r="BC33" s="44">
        <f>IFERROR(ROUND(IFERROR(IF(AND(BC$17&gt;=$H19,BC$17&lt;=$I19,$D19&gt;0),$J19*(1-param_PS_LayMortWeekly)^INT((BC$17-$H19)/7),0),0)+IFERROR(IF(AND(BC$17&gt;=$H20,BC$17&lt;=$I20,$D20&gt;0),$J20*(1-param_PS_LayMortWeekly)^INT((BC$17-$H20)/7),0),0)+IFERROR(IF(AND(BC$17&gt;=$H21,BC$17&lt;=$I21,$D21&gt;0),$J21*(1-param_PS_LayMortWeekly)^INT((BC$17-$H21)/7),0),0)+IFERROR(IF(AND(BC$17&gt;=$H22,BC$17&lt;=$I22,$D22&gt;0),$J22*(1-param_PS_LayMortWeekly)^INT((BC$17-$H22)/7),0),0)+IFERROR(IF(AND(BC$17&gt;=$H23,BC$17&lt;=$I23,$D23&gt;0),$J23*(1-param_PS_LayMortWeekly)^INT((BC$17-$H23)/7),0),0)+IFERROR(IF(AND(BC$17&gt;=$H24,BC$17&lt;=$I24,$D24&gt;0),$J24*(1-param_PS_LayMortWeekly)^INT((BC$17-$H24)/7),0),0),0),0)</f>
        <v/>
      </c>
      <c r="BD33" s="44">
        <f>IFERROR(ROUND(IFERROR(IF(AND(BD$17&gt;=$H19,BD$17&lt;=$I19,$D19&gt;0),$J19*(1-param_PS_LayMortWeekly)^INT((BD$17-$H19)/7),0),0)+IFERROR(IF(AND(BD$17&gt;=$H20,BD$17&lt;=$I20,$D20&gt;0),$J20*(1-param_PS_LayMortWeekly)^INT((BD$17-$H20)/7),0),0)+IFERROR(IF(AND(BD$17&gt;=$H21,BD$17&lt;=$I21,$D21&gt;0),$J21*(1-param_PS_LayMortWeekly)^INT((BD$17-$H21)/7),0),0)+IFERROR(IF(AND(BD$17&gt;=$H22,BD$17&lt;=$I22,$D22&gt;0),$J22*(1-param_PS_LayMortWeekly)^INT((BD$17-$H22)/7),0),0)+IFERROR(IF(AND(BD$17&gt;=$H23,BD$17&lt;=$I23,$D23&gt;0),$J23*(1-param_PS_LayMortWeekly)^INT((BD$17-$H23)/7),0),0)+IFERROR(IF(AND(BD$17&gt;=$H24,BD$17&lt;=$I24,$D24&gt;0),$J24*(1-param_PS_LayMortWeekly)^INT((BD$17-$H24)/7),0),0),0),0)</f>
        <v/>
      </c>
      <c r="BE33" s="44">
        <f>IFERROR(ROUND(IFERROR(IF(AND(BE$17&gt;=$H19,BE$17&lt;=$I19,$D19&gt;0),$J19*(1-param_PS_LayMortWeekly)^INT((BE$17-$H19)/7),0),0)+IFERROR(IF(AND(BE$17&gt;=$H20,BE$17&lt;=$I20,$D20&gt;0),$J20*(1-param_PS_LayMortWeekly)^INT((BE$17-$H20)/7),0),0)+IFERROR(IF(AND(BE$17&gt;=$H21,BE$17&lt;=$I21,$D21&gt;0),$J21*(1-param_PS_LayMortWeekly)^INT((BE$17-$H21)/7),0),0)+IFERROR(IF(AND(BE$17&gt;=$H22,BE$17&lt;=$I22,$D22&gt;0),$J22*(1-param_PS_LayMortWeekly)^INT((BE$17-$H22)/7),0),0)+IFERROR(IF(AND(BE$17&gt;=$H23,BE$17&lt;=$I23,$D23&gt;0),$J23*(1-param_PS_LayMortWeekly)^INT((BE$17-$H23)/7),0),0)+IFERROR(IF(AND(BE$17&gt;=$H24,BE$17&lt;=$I24,$D24&gt;0),$J24*(1-param_PS_LayMortWeekly)^INT((BE$17-$H24)/7),0),0),0),0)</f>
        <v/>
      </c>
      <c r="BF33" s="44">
        <f>IFERROR(ROUND(IFERROR(IF(AND(BF$17&gt;=$H19,BF$17&lt;=$I19,$D19&gt;0),$J19*(1-param_PS_LayMortWeekly)^INT((BF$17-$H19)/7),0),0)+IFERROR(IF(AND(BF$17&gt;=$H20,BF$17&lt;=$I20,$D20&gt;0),$J20*(1-param_PS_LayMortWeekly)^INT((BF$17-$H20)/7),0),0)+IFERROR(IF(AND(BF$17&gt;=$H21,BF$17&lt;=$I21,$D21&gt;0),$J21*(1-param_PS_LayMortWeekly)^INT((BF$17-$H21)/7),0),0)+IFERROR(IF(AND(BF$17&gt;=$H22,BF$17&lt;=$I22,$D22&gt;0),$J22*(1-param_PS_LayMortWeekly)^INT((BF$17-$H22)/7),0),0)+IFERROR(IF(AND(BF$17&gt;=$H23,BF$17&lt;=$I23,$D23&gt;0),$J23*(1-param_PS_LayMortWeekly)^INT((BF$17-$H23)/7),0),0)+IFERROR(IF(AND(BF$17&gt;=$H24,BF$17&lt;=$I24,$D24&gt;0),$J24*(1-param_PS_LayMortWeekly)^INT((BF$17-$H24)/7),0),0),0),0)</f>
        <v/>
      </c>
      <c r="BG33" s="44">
        <f>IFERROR(ROUND(IFERROR(IF(AND(BG$17&gt;=$H19,BG$17&lt;=$I19,$D19&gt;0),$J19*(1-param_PS_LayMortWeekly)^INT((BG$17-$H19)/7),0),0)+IFERROR(IF(AND(BG$17&gt;=$H20,BG$17&lt;=$I20,$D20&gt;0),$J20*(1-param_PS_LayMortWeekly)^INT((BG$17-$H20)/7),0),0)+IFERROR(IF(AND(BG$17&gt;=$H21,BG$17&lt;=$I21,$D21&gt;0),$J21*(1-param_PS_LayMortWeekly)^INT((BG$17-$H21)/7),0),0)+IFERROR(IF(AND(BG$17&gt;=$H22,BG$17&lt;=$I22,$D22&gt;0),$J22*(1-param_PS_LayMortWeekly)^INT((BG$17-$H22)/7),0),0)+IFERROR(IF(AND(BG$17&gt;=$H23,BG$17&lt;=$I23,$D23&gt;0),$J23*(1-param_PS_LayMortWeekly)^INT((BG$17-$H23)/7),0),0)+IFERROR(IF(AND(BG$17&gt;=$H24,BG$17&lt;=$I24,$D24&gt;0),$J24*(1-param_PS_LayMortWeekly)^INT((BG$17-$H24)/7),0),0),0),0)</f>
        <v/>
      </c>
      <c r="BH33" s="44">
        <f>IFERROR(ROUND(IFERROR(IF(AND(BH$17&gt;=$H19,BH$17&lt;=$I19,$D19&gt;0),$J19*(1-param_PS_LayMortWeekly)^INT((BH$17-$H19)/7),0),0)+IFERROR(IF(AND(BH$17&gt;=$H20,BH$17&lt;=$I20,$D20&gt;0),$J20*(1-param_PS_LayMortWeekly)^INT((BH$17-$H20)/7),0),0)+IFERROR(IF(AND(BH$17&gt;=$H21,BH$17&lt;=$I21,$D21&gt;0),$J21*(1-param_PS_LayMortWeekly)^INT((BH$17-$H21)/7),0),0)+IFERROR(IF(AND(BH$17&gt;=$H22,BH$17&lt;=$I22,$D22&gt;0),$J22*(1-param_PS_LayMortWeekly)^INT((BH$17-$H22)/7),0),0)+IFERROR(IF(AND(BH$17&gt;=$H23,BH$17&lt;=$I23,$D23&gt;0),$J23*(1-param_PS_LayMortWeekly)^INT((BH$17-$H23)/7),0),0)+IFERROR(IF(AND(BH$17&gt;=$H24,BH$17&lt;=$I24,$D24&gt;0),$J24*(1-param_PS_LayMortWeekly)^INT((BH$17-$H24)/7),0),0),0),0)</f>
        <v/>
      </c>
      <c r="BI33" s="44">
        <f>IFERROR(ROUND(IFERROR(IF(AND(BI$17&gt;=$H19,BI$17&lt;=$I19,$D19&gt;0),$J19*(1-param_PS_LayMortWeekly)^INT((BI$17-$H19)/7),0),0)+IFERROR(IF(AND(BI$17&gt;=$H20,BI$17&lt;=$I20,$D20&gt;0),$J20*(1-param_PS_LayMortWeekly)^INT((BI$17-$H20)/7),0),0)+IFERROR(IF(AND(BI$17&gt;=$H21,BI$17&lt;=$I21,$D21&gt;0),$J21*(1-param_PS_LayMortWeekly)^INT((BI$17-$H21)/7),0),0)+IFERROR(IF(AND(BI$17&gt;=$H22,BI$17&lt;=$I22,$D22&gt;0),$J22*(1-param_PS_LayMortWeekly)^INT((BI$17-$H22)/7),0),0)+IFERROR(IF(AND(BI$17&gt;=$H23,BI$17&lt;=$I23,$D23&gt;0),$J23*(1-param_PS_LayMortWeekly)^INT((BI$17-$H23)/7),0),0)+IFERROR(IF(AND(BI$17&gt;=$H24,BI$17&lt;=$I24,$D24&gt;0),$J24*(1-param_PS_LayMortWeekly)^INT((BI$17-$H24)/7),0),0),0),0)</f>
        <v/>
      </c>
      <c r="BJ33" s="44">
        <f>IFERROR(ROUND(IFERROR(IF(AND(BJ$17&gt;=$H19,BJ$17&lt;=$I19,$D19&gt;0),$J19*(1-param_PS_LayMortWeekly)^INT((BJ$17-$H19)/7),0),0)+IFERROR(IF(AND(BJ$17&gt;=$H20,BJ$17&lt;=$I20,$D20&gt;0),$J20*(1-param_PS_LayMortWeekly)^INT((BJ$17-$H20)/7),0),0)+IFERROR(IF(AND(BJ$17&gt;=$H21,BJ$17&lt;=$I21,$D21&gt;0),$J21*(1-param_PS_LayMortWeekly)^INT((BJ$17-$H21)/7),0),0)+IFERROR(IF(AND(BJ$17&gt;=$H22,BJ$17&lt;=$I22,$D22&gt;0),$J22*(1-param_PS_LayMortWeekly)^INT((BJ$17-$H22)/7),0),0)+IFERROR(IF(AND(BJ$17&gt;=$H23,BJ$17&lt;=$I23,$D23&gt;0),$J23*(1-param_PS_LayMortWeekly)^INT((BJ$17-$H23)/7),0),0)+IFERROR(IF(AND(BJ$17&gt;=$H24,BJ$17&lt;=$I24,$D24&gt;0),$J24*(1-param_PS_LayMortWeekly)^INT((BJ$17-$H24)/7),0),0),0),0)</f>
        <v/>
      </c>
    </row>
    <row r="34" ht="16" customHeight="1">
      <c r="A34" s="22" t="inlineStr">
        <is>
          <t>TOTAL Plant 1220 vs Capacity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67">
        <f>K32+K33</f>
        <v/>
      </c>
      <c r="L34" s="67">
        <f>L32+L33</f>
        <v/>
      </c>
      <c r="M34" s="67">
        <f>M32+M33</f>
        <v/>
      </c>
      <c r="N34" s="67">
        <f>N32+N33</f>
        <v/>
      </c>
      <c r="O34" s="67">
        <f>O32+O33</f>
        <v/>
      </c>
      <c r="P34" s="67">
        <f>P32+P33</f>
        <v/>
      </c>
      <c r="Q34" s="67">
        <f>Q32+Q33</f>
        <v/>
      </c>
      <c r="R34" s="67">
        <f>R32+R33</f>
        <v/>
      </c>
      <c r="S34" s="67">
        <f>S32+S33</f>
        <v/>
      </c>
      <c r="T34" s="67">
        <f>T32+T33</f>
        <v/>
      </c>
      <c r="U34" s="67">
        <f>U32+U33</f>
        <v/>
      </c>
      <c r="V34" s="67">
        <f>V32+V33</f>
        <v/>
      </c>
      <c r="W34" s="67">
        <f>W32+W33</f>
        <v/>
      </c>
      <c r="X34" s="67">
        <f>X32+X33</f>
        <v/>
      </c>
      <c r="Y34" s="67">
        <f>Y32+Y33</f>
        <v/>
      </c>
      <c r="Z34" s="67">
        <f>Z32+Z33</f>
        <v/>
      </c>
      <c r="AA34" s="67">
        <f>AA32+AA33</f>
        <v/>
      </c>
      <c r="AB34" s="67">
        <f>AB32+AB33</f>
        <v/>
      </c>
      <c r="AC34" s="67">
        <f>AC32+AC33</f>
        <v/>
      </c>
      <c r="AD34" s="67">
        <f>AD32+AD33</f>
        <v/>
      </c>
      <c r="AE34" s="67">
        <f>AE32+AE33</f>
        <v/>
      </c>
      <c r="AF34" s="67">
        <f>AF32+AF33</f>
        <v/>
      </c>
      <c r="AG34" s="67">
        <f>AG32+AG33</f>
        <v/>
      </c>
      <c r="AH34" s="67">
        <f>AH32+AH33</f>
        <v/>
      </c>
      <c r="AI34" s="67">
        <f>AI32+AI33</f>
        <v/>
      </c>
      <c r="AJ34" s="67">
        <f>AJ32+AJ33</f>
        <v/>
      </c>
      <c r="AK34" s="67">
        <f>AK32+AK33</f>
        <v/>
      </c>
      <c r="AL34" s="67">
        <f>AL32+AL33</f>
        <v/>
      </c>
      <c r="AM34" s="67">
        <f>AM32+AM33</f>
        <v/>
      </c>
      <c r="AN34" s="67">
        <f>AN32+AN33</f>
        <v/>
      </c>
      <c r="AO34" s="67">
        <f>AO32+AO33</f>
        <v/>
      </c>
      <c r="AP34" s="67">
        <f>AP32+AP33</f>
        <v/>
      </c>
      <c r="AQ34" s="67">
        <f>AQ32+AQ33</f>
        <v/>
      </c>
      <c r="AR34" s="67">
        <f>AR32+AR33</f>
        <v/>
      </c>
      <c r="AS34" s="67">
        <f>AS32+AS33</f>
        <v/>
      </c>
      <c r="AT34" s="67">
        <f>AT32+AT33</f>
        <v/>
      </c>
      <c r="AU34" s="67">
        <f>AU32+AU33</f>
        <v/>
      </c>
      <c r="AV34" s="67">
        <f>AV32+AV33</f>
        <v/>
      </c>
      <c r="AW34" s="67">
        <f>AW32+AW33</f>
        <v/>
      </c>
      <c r="AX34" s="67">
        <f>AX32+AX33</f>
        <v/>
      </c>
      <c r="AY34" s="67">
        <f>AY32+AY33</f>
        <v/>
      </c>
      <c r="AZ34" s="67">
        <f>AZ32+AZ33</f>
        <v/>
      </c>
      <c r="BA34" s="67">
        <f>BA32+BA33</f>
        <v/>
      </c>
      <c r="BB34" s="67">
        <f>BB32+BB33</f>
        <v/>
      </c>
      <c r="BC34" s="67">
        <f>BC32+BC33</f>
        <v/>
      </c>
      <c r="BD34" s="67">
        <f>BD32+BD33</f>
        <v/>
      </c>
      <c r="BE34" s="67">
        <f>BE32+BE33</f>
        <v/>
      </c>
      <c r="BF34" s="67">
        <f>BF32+BF33</f>
        <v/>
      </c>
      <c r="BG34" s="67">
        <f>BG32+BG33</f>
        <v/>
      </c>
      <c r="BH34" s="67">
        <f>BH32+BH33</f>
        <v/>
      </c>
      <c r="BI34" s="67">
        <f>BI32+BI33</f>
        <v/>
      </c>
      <c r="BJ34" s="67">
        <f>BJ32+BJ33</f>
        <v/>
      </c>
    </row>
  </sheetData>
  <mergeCells count="18">
    <mergeCell ref="A14:BJ14"/>
    <mergeCell ref="A32:J32"/>
    <mergeCell ref="A27:BJ27"/>
    <mergeCell ref="K4:BJ4"/>
    <mergeCell ref="A3:BJ3"/>
    <mergeCell ref="A31:J31"/>
    <mergeCell ref="K16:BJ16"/>
    <mergeCell ref="A26:BJ26"/>
    <mergeCell ref="A2:BJ2"/>
    <mergeCell ref="A28:J28"/>
    <mergeCell ref="A15:BJ15"/>
    <mergeCell ref="A29:J29"/>
    <mergeCell ref="A30:J30"/>
    <mergeCell ref="A33:J33"/>
    <mergeCell ref="A34:J34"/>
    <mergeCell ref="A25:J25"/>
    <mergeCell ref="A1:BJ1"/>
    <mergeCell ref="A13:J13"/>
  </mergeCells>
  <conditionalFormatting sqref="F19">
    <cfRule type="expression" priority="1" dxfId="1">
      <formula>$E19&lt;=TODAY()+56</formula>
    </cfRule>
  </conditionalFormatting>
  <conditionalFormatting sqref="F20">
    <cfRule type="expression" priority="2" dxfId="1">
      <formula>$E20&lt;=TODAY()+56</formula>
    </cfRule>
  </conditionalFormatting>
  <conditionalFormatting sqref="F21">
    <cfRule type="expression" priority="3" dxfId="1">
      <formula>$E21&lt;=TODAY()+56</formula>
    </cfRule>
  </conditionalFormatting>
  <conditionalFormatting sqref="F22">
    <cfRule type="expression" priority="4" dxfId="1">
      <formula>$E22&lt;=TODAY()+56</formula>
    </cfRule>
  </conditionalFormatting>
  <conditionalFormatting sqref="F23">
    <cfRule type="expression" priority="5" dxfId="1">
      <formula>$E23&lt;=TODAY()+56</formula>
    </cfRule>
  </conditionalFormatting>
  <conditionalFormatting sqref="F24">
    <cfRule type="expression" priority="6" dxfId="1">
      <formula>$E24&lt;=TODAY()+56</formula>
    </cfRule>
  </conditionalFormatting>
  <conditionalFormatting sqref="K31:BJ31">
    <cfRule type="expression" priority="7" dxfId="3">
      <formula>K31&gt;param_Plant1230_Capacity</formula>
    </cfRule>
  </conditionalFormatting>
  <conditionalFormatting sqref="K34:BJ34">
    <cfRule type="expression" priority="8" dxfId="3">
      <formula>K34&gt;param_Plant1220_Capacity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</cols>
  <sheetData>
    <row r="1" ht="26" customHeight="1">
      <c r="A1" s="1" t="inlineStr">
        <is>
          <t>TAB 4 — COBB-500 PS HATCHERY  |  Breed: Cobb-500  |  Input: PS Hatching Eggs (from Tab 3)  →  Output: Broiler DOC  |  Incubation: 21 days</t>
        </is>
      </c>
    </row>
    <row r="2" ht="13" customHeight="1">
      <c r="A2" s="3" t="inlineStr">
        <is>
          <t>[AR: TBD — مفرخة الأمهات Cobb-500 / Cobb-500 PS Hatchery]</t>
        </is>
      </c>
    </row>
    <row r="3" ht="22" customHeight="1">
      <c r="A3" s="4" t="inlineStr">
        <is>
          <t>Metric</t>
        </is>
      </c>
      <c r="B3" s="4" t="inlineStr">
        <is>
          <t>Description</t>
        </is>
      </c>
      <c r="I3" s="68" t="inlineStr">
        <is>
          <t>◀  COBB-500 PS HATCHERY — WEEKLY SCHEDULE  ▶</t>
        </is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7" t="n"/>
    </row>
    <row r="4" ht="14" customHeight="1">
      <c r="I4" s="8" t="inlineStr">
        <is>
          <t>Wk 1</t>
        </is>
      </c>
      <c r="J4" s="8" t="inlineStr">
        <is>
          <t>Wk 2</t>
        </is>
      </c>
      <c r="K4" s="8" t="inlineStr">
        <is>
          <t>Wk 3</t>
        </is>
      </c>
      <c r="L4" s="8" t="inlineStr">
        <is>
          <t>Wk 4</t>
        </is>
      </c>
      <c r="M4" s="8" t="inlineStr">
        <is>
          <t>Wk 5</t>
        </is>
      </c>
      <c r="N4" s="8" t="inlineStr">
        <is>
          <t>Wk 6</t>
        </is>
      </c>
      <c r="O4" s="8" t="inlineStr">
        <is>
          <t>Wk 7</t>
        </is>
      </c>
      <c r="P4" s="8" t="inlineStr">
        <is>
          <t>Wk 8</t>
        </is>
      </c>
      <c r="Q4" s="8" t="inlineStr">
        <is>
          <t>Wk 9</t>
        </is>
      </c>
      <c r="R4" s="8" t="inlineStr">
        <is>
          <t>Wk 10</t>
        </is>
      </c>
      <c r="S4" s="8" t="inlineStr">
        <is>
          <t>Wk 11</t>
        </is>
      </c>
      <c r="T4" s="8" t="inlineStr">
        <is>
          <t>Wk 12</t>
        </is>
      </c>
      <c r="U4" s="8" t="inlineStr">
        <is>
          <t>Wk 13</t>
        </is>
      </c>
      <c r="V4" s="8" t="inlineStr">
        <is>
          <t>Wk 14</t>
        </is>
      </c>
      <c r="W4" s="8" t="inlineStr">
        <is>
          <t>Wk 15</t>
        </is>
      </c>
      <c r="X4" s="8" t="inlineStr">
        <is>
          <t>Wk 16</t>
        </is>
      </c>
      <c r="Y4" s="8" t="inlineStr">
        <is>
          <t>Wk 17</t>
        </is>
      </c>
      <c r="Z4" s="8" t="inlineStr">
        <is>
          <t>Wk 18</t>
        </is>
      </c>
      <c r="AA4" s="8" t="inlineStr">
        <is>
          <t>Wk 19</t>
        </is>
      </c>
      <c r="AB4" s="8" t="inlineStr">
        <is>
          <t>Wk 20</t>
        </is>
      </c>
      <c r="AC4" s="8" t="inlineStr">
        <is>
          <t>Wk 21</t>
        </is>
      </c>
      <c r="AD4" s="8" t="inlineStr">
        <is>
          <t>Wk 22</t>
        </is>
      </c>
      <c r="AE4" s="8" t="inlineStr">
        <is>
          <t>Wk 23</t>
        </is>
      </c>
      <c r="AF4" s="8" t="inlineStr">
        <is>
          <t>Wk 24</t>
        </is>
      </c>
      <c r="AG4" s="8" t="inlineStr">
        <is>
          <t>Wk 25</t>
        </is>
      </c>
      <c r="AH4" s="8" t="inlineStr">
        <is>
          <t>Wk 26</t>
        </is>
      </c>
      <c r="AI4" s="8" t="inlineStr">
        <is>
          <t>Wk 27</t>
        </is>
      </c>
      <c r="AJ4" s="8" t="inlineStr">
        <is>
          <t>Wk 28</t>
        </is>
      </c>
      <c r="AK4" s="8" t="inlineStr">
        <is>
          <t>Wk 29</t>
        </is>
      </c>
      <c r="AL4" s="8" t="inlineStr">
        <is>
          <t>Wk 30</t>
        </is>
      </c>
      <c r="AM4" s="8" t="inlineStr">
        <is>
          <t>Wk 31</t>
        </is>
      </c>
      <c r="AN4" s="8" t="inlineStr">
        <is>
          <t>Wk 32</t>
        </is>
      </c>
      <c r="AO4" s="8" t="inlineStr">
        <is>
          <t>Wk 33</t>
        </is>
      </c>
      <c r="AP4" s="8" t="inlineStr">
        <is>
          <t>Wk 34</t>
        </is>
      </c>
      <c r="AQ4" s="8" t="inlineStr">
        <is>
          <t>Wk 35</t>
        </is>
      </c>
      <c r="AR4" s="8" t="inlineStr">
        <is>
          <t>Wk 36</t>
        </is>
      </c>
      <c r="AS4" s="8" t="inlineStr">
        <is>
          <t>Wk 37</t>
        </is>
      </c>
      <c r="AT4" s="8" t="inlineStr">
        <is>
          <t>Wk 38</t>
        </is>
      </c>
      <c r="AU4" s="8" t="inlineStr">
        <is>
          <t>Wk 39</t>
        </is>
      </c>
      <c r="AV4" s="8" t="inlineStr">
        <is>
          <t>Wk 40</t>
        </is>
      </c>
      <c r="AW4" s="8" t="inlineStr">
        <is>
          <t>Wk 41</t>
        </is>
      </c>
      <c r="AX4" s="8" t="inlineStr">
        <is>
          <t>Wk 42</t>
        </is>
      </c>
      <c r="AY4" s="8" t="inlineStr">
        <is>
          <t>Wk 43</t>
        </is>
      </c>
      <c r="AZ4" s="8" t="inlineStr">
        <is>
          <t>Wk 44</t>
        </is>
      </c>
      <c r="BA4" s="8" t="inlineStr">
        <is>
          <t>Wk 45</t>
        </is>
      </c>
      <c r="BB4" s="8" t="inlineStr">
        <is>
          <t>Wk 46</t>
        </is>
      </c>
      <c r="BC4" s="8" t="inlineStr">
        <is>
          <t>Wk 47</t>
        </is>
      </c>
      <c r="BD4" s="8" t="inlineStr">
        <is>
          <t>Wk 48</t>
        </is>
      </c>
      <c r="BE4" s="8" t="inlineStr">
        <is>
          <t>Wk 49</t>
        </is>
      </c>
      <c r="BF4" s="8" t="inlineStr">
        <is>
          <t>Wk 50</t>
        </is>
      </c>
      <c r="BG4" s="8" t="inlineStr">
        <is>
          <t>Wk 51</t>
        </is>
      </c>
      <c r="BH4" s="8" t="inlineStr">
        <is>
          <t>Wk 52</t>
        </is>
      </c>
    </row>
    <row r="5" ht="16" customHeight="1">
      <c r="A5" s="31" t="inlineStr">
        <is>
          <t>Cobb-500 PS Settable Eggs Available</t>
        </is>
      </c>
      <c r="B5" s="32" t="inlineStr">
        <is>
          <t>From Tab 3 — Cobb-500 PS Total Settable Eggs</t>
        </is>
      </c>
      <c r="I5" s="14">
        <f>IFERROR(INDEX(Cobb_PS_Eggs,1),0)</f>
        <v/>
      </c>
      <c r="J5" s="14">
        <f>IFERROR(INDEX(Cobb_PS_Eggs,2),0)</f>
        <v/>
      </c>
      <c r="K5" s="14">
        <f>IFERROR(INDEX(Cobb_PS_Eggs,3),0)</f>
        <v/>
      </c>
      <c r="L5" s="14">
        <f>IFERROR(INDEX(Cobb_PS_Eggs,4),0)</f>
        <v/>
      </c>
      <c r="M5" s="14">
        <f>IFERROR(INDEX(Cobb_PS_Eggs,5),0)</f>
        <v/>
      </c>
      <c r="N5" s="14">
        <f>IFERROR(INDEX(Cobb_PS_Eggs,6),0)</f>
        <v/>
      </c>
      <c r="O5" s="14">
        <f>IFERROR(INDEX(Cobb_PS_Eggs,7),0)</f>
        <v/>
      </c>
      <c r="P5" s="14">
        <f>IFERROR(INDEX(Cobb_PS_Eggs,8),0)</f>
        <v/>
      </c>
      <c r="Q5" s="14">
        <f>IFERROR(INDEX(Cobb_PS_Eggs,9),0)</f>
        <v/>
      </c>
      <c r="R5" s="14">
        <f>IFERROR(INDEX(Cobb_PS_Eggs,10),0)</f>
        <v/>
      </c>
      <c r="S5" s="14">
        <f>IFERROR(INDEX(Cobb_PS_Eggs,11),0)</f>
        <v/>
      </c>
      <c r="T5" s="14">
        <f>IFERROR(INDEX(Cobb_PS_Eggs,12),0)</f>
        <v/>
      </c>
      <c r="U5" s="14">
        <f>IFERROR(INDEX(Cobb_PS_Eggs,13),0)</f>
        <v/>
      </c>
      <c r="V5" s="14">
        <f>IFERROR(INDEX(Cobb_PS_Eggs,14),0)</f>
        <v/>
      </c>
      <c r="W5" s="14">
        <f>IFERROR(INDEX(Cobb_PS_Eggs,15),0)</f>
        <v/>
      </c>
      <c r="X5" s="14">
        <f>IFERROR(INDEX(Cobb_PS_Eggs,16),0)</f>
        <v/>
      </c>
      <c r="Y5" s="14">
        <f>IFERROR(INDEX(Cobb_PS_Eggs,17),0)</f>
        <v/>
      </c>
      <c r="Z5" s="14">
        <f>IFERROR(INDEX(Cobb_PS_Eggs,18),0)</f>
        <v/>
      </c>
      <c r="AA5" s="14">
        <f>IFERROR(INDEX(Cobb_PS_Eggs,19),0)</f>
        <v/>
      </c>
      <c r="AB5" s="14">
        <f>IFERROR(INDEX(Cobb_PS_Eggs,20),0)</f>
        <v/>
      </c>
      <c r="AC5" s="14">
        <f>IFERROR(INDEX(Cobb_PS_Eggs,21),0)</f>
        <v/>
      </c>
      <c r="AD5" s="14">
        <f>IFERROR(INDEX(Cobb_PS_Eggs,22),0)</f>
        <v/>
      </c>
      <c r="AE5" s="14">
        <f>IFERROR(INDEX(Cobb_PS_Eggs,23),0)</f>
        <v/>
      </c>
      <c r="AF5" s="14">
        <f>IFERROR(INDEX(Cobb_PS_Eggs,24),0)</f>
        <v/>
      </c>
      <c r="AG5" s="14">
        <f>IFERROR(INDEX(Cobb_PS_Eggs,25),0)</f>
        <v/>
      </c>
      <c r="AH5" s="14">
        <f>IFERROR(INDEX(Cobb_PS_Eggs,26),0)</f>
        <v/>
      </c>
      <c r="AI5" s="14">
        <f>IFERROR(INDEX(Cobb_PS_Eggs,27),0)</f>
        <v/>
      </c>
      <c r="AJ5" s="14">
        <f>IFERROR(INDEX(Cobb_PS_Eggs,28),0)</f>
        <v/>
      </c>
      <c r="AK5" s="14">
        <f>IFERROR(INDEX(Cobb_PS_Eggs,29),0)</f>
        <v/>
      </c>
      <c r="AL5" s="14">
        <f>IFERROR(INDEX(Cobb_PS_Eggs,30),0)</f>
        <v/>
      </c>
      <c r="AM5" s="14">
        <f>IFERROR(INDEX(Cobb_PS_Eggs,31),0)</f>
        <v/>
      </c>
      <c r="AN5" s="14">
        <f>IFERROR(INDEX(Cobb_PS_Eggs,32),0)</f>
        <v/>
      </c>
      <c r="AO5" s="14">
        <f>IFERROR(INDEX(Cobb_PS_Eggs,33),0)</f>
        <v/>
      </c>
      <c r="AP5" s="14">
        <f>IFERROR(INDEX(Cobb_PS_Eggs,34),0)</f>
        <v/>
      </c>
      <c r="AQ5" s="14">
        <f>IFERROR(INDEX(Cobb_PS_Eggs,35),0)</f>
        <v/>
      </c>
      <c r="AR5" s="14">
        <f>IFERROR(INDEX(Cobb_PS_Eggs,36),0)</f>
        <v/>
      </c>
      <c r="AS5" s="14">
        <f>IFERROR(INDEX(Cobb_PS_Eggs,37),0)</f>
        <v/>
      </c>
      <c r="AT5" s="14">
        <f>IFERROR(INDEX(Cobb_PS_Eggs,38),0)</f>
        <v/>
      </c>
      <c r="AU5" s="14">
        <f>IFERROR(INDEX(Cobb_PS_Eggs,39),0)</f>
        <v/>
      </c>
      <c r="AV5" s="14">
        <f>IFERROR(INDEX(Cobb_PS_Eggs,40),0)</f>
        <v/>
      </c>
      <c r="AW5" s="14">
        <f>IFERROR(INDEX(Cobb_PS_Eggs,41),0)</f>
        <v/>
      </c>
      <c r="AX5" s="14">
        <f>IFERROR(INDEX(Cobb_PS_Eggs,42),0)</f>
        <v/>
      </c>
      <c r="AY5" s="14">
        <f>IFERROR(INDEX(Cobb_PS_Eggs,43),0)</f>
        <v/>
      </c>
      <c r="AZ5" s="14">
        <f>IFERROR(INDEX(Cobb_PS_Eggs,44),0)</f>
        <v/>
      </c>
      <c r="BA5" s="14">
        <f>IFERROR(INDEX(Cobb_PS_Eggs,45),0)</f>
        <v/>
      </c>
      <c r="BB5" s="14">
        <f>IFERROR(INDEX(Cobb_PS_Eggs,46),0)</f>
        <v/>
      </c>
      <c r="BC5" s="14">
        <f>IFERROR(INDEX(Cobb_PS_Eggs,47),0)</f>
        <v/>
      </c>
      <c r="BD5" s="14">
        <f>IFERROR(INDEX(Cobb_PS_Eggs,48),0)</f>
        <v/>
      </c>
      <c r="BE5" s="14">
        <f>IFERROR(INDEX(Cobb_PS_Eggs,49),0)</f>
        <v/>
      </c>
      <c r="BF5" s="14">
        <f>IFERROR(INDEX(Cobb_PS_Eggs,50),0)</f>
        <v/>
      </c>
      <c r="BG5" s="14">
        <f>IFERROR(INDEX(Cobb_PS_Eggs,51),0)</f>
        <v/>
      </c>
      <c r="BH5" s="14">
        <f>IFERROR(INDEX(Cobb_PS_Eggs,52),0)</f>
        <v/>
      </c>
    </row>
    <row r="6" ht="16" customHeight="1">
      <c r="A6" s="33" t="inlineStr">
        <is>
          <t>Cobb-500 PS Eggs Actually Set</t>
        </is>
      </c>
      <c r="B6" s="34">
        <f> Available (reduce if hatchery at capacity) — EDITABLE</f>
        <v/>
      </c>
      <c r="I6" s="26">
        <f>IFERROR(INDEX(Cobb_PS_Eggs,1),0)</f>
        <v/>
      </c>
      <c r="J6" s="26">
        <f>IFERROR(INDEX(Cobb_PS_Eggs,2),0)</f>
        <v/>
      </c>
      <c r="K6" s="26">
        <f>IFERROR(INDEX(Cobb_PS_Eggs,3),0)</f>
        <v/>
      </c>
      <c r="L6" s="26">
        <f>IFERROR(INDEX(Cobb_PS_Eggs,4),0)</f>
        <v/>
      </c>
      <c r="M6" s="26">
        <f>IFERROR(INDEX(Cobb_PS_Eggs,5),0)</f>
        <v/>
      </c>
      <c r="N6" s="26">
        <f>IFERROR(INDEX(Cobb_PS_Eggs,6),0)</f>
        <v/>
      </c>
      <c r="O6" s="26">
        <f>IFERROR(INDEX(Cobb_PS_Eggs,7),0)</f>
        <v/>
      </c>
      <c r="P6" s="26">
        <f>IFERROR(INDEX(Cobb_PS_Eggs,8),0)</f>
        <v/>
      </c>
      <c r="Q6" s="26">
        <f>IFERROR(INDEX(Cobb_PS_Eggs,9),0)</f>
        <v/>
      </c>
      <c r="R6" s="26">
        <f>IFERROR(INDEX(Cobb_PS_Eggs,10),0)</f>
        <v/>
      </c>
      <c r="S6" s="26">
        <f>IFERROR(INDEX(Cobb_PS_Eggs,11),0)</f>
        <v/>
      </c>
      <c r="T6" s="26">
        <f>IFERROR(INDEX(Cobb_PS_Eggs,12),0)</f>
        <v/>
      </c>
      <c r="U6" s="26">
        <f>IFERROR(INDEX(Cobb_PS_Eggs,13),0)</f>
        <v/>
      </c>
      <c r="V6" s="26">
        <f>IFERROR(INDEX(Cobb_PS_Eggs,14),0)</f>
        <v/>
      </c>
      <c r="W6" s="26">
        <f>IFERROR(INDEX(Cobb_PS_Eggs,15),0)</f>
        <v/>
      </c>
      <c r="X6" s="26">
        <f>IFERROR(INDEX(Cobb_PS_Eggs,16),0)</f>
        <v/>
      </c>
      <c r="Y6" s="26">
        <f>IFERROR(INDEX(Cobb_PS_Eggs,17),0)</f>
        <v/>
      </c>
      <c r="Z6" s="26">
        <f>IFERROR(INDEX(Cobb_PS_Eggs,18),0)</f>
        <v/>
      </c>
      <c r="AA6" s="26">
        <f>IFERROR(INDEX(Cobb_PS_Eggs,19),0)</f>
        <v/>
      </c>
      <c r="AB6" s="26">
        <f>IFERROR(INDEX(Cobb_PS_Eggs,20),0)</f>
        <v/>
      </c>
      <c r="AC6" s="26">
        <f>IFERROR(INDEX(Cobb_PS_Eggs,21),0)</f>
        <v/>
      </c>
      <c r="AD6" s="26">
        <f>IFERROR(INDEX(Cobb_PS_Eggs,22),0)</f>
        <v/>
      </c>
      <c r="AE6" s="26">
        <f>IFERROR(INDEX(Cobb_PS_Eggs,23),0)</f>
        <v/>
      </c>
      <c r="AF6" s="26">
        <f>IFERROR(INDEX(Cobb_PS_Eggs,24),0)</f>
        <v/>
      </c>
      <c r="AG6" s="26">
        <f>IFERROR(INDEX(Cobb_PS_Eggs,25),0)</f>
        <v/>
      </c>
      <c r="AH6" s="26">
        <f>IFERROR(INDEX(Cobb_PS_Eggs,26),0)</f>
        <v/>
      </c>
      <c r="AI6" s="26">
        <f>IFERROR(INDEX(Cobb_PS_Eggs,27),0)</f>
        <v/>
      </c>
      <c r="AJ6" s="26">
        <f>IFERROR(INDEX(Cobb_PS_Eggs,28),0)</f>
        <v/>
      </c>
      <c r="AK6" s="26">
        <f>IFERROR(INDEX(Cobb_PS_Eggs,29),0)</f>
        <v/>
      </c>
      <c r="AL6" s="26">
        <f>IFERROR(INDEX(Cobb_PS_Eggs,30),0)</f>
        <v/>
      </c>
      <c r="AM6" s="26">
        <f>IFERROR(INDEX(Cobb_PS_Eggs,31),0)</f>
        <v/>
      </c>
      <c r="AN6" s="26">
        <f>IFERROR(INDEX(Cobb_PS_Eggs,32),0)</f>
        <v/>
      </c>
      <c r="AO6" s="26">
        <f>IFERROR(INDEX(Cobb_PS_Eggs,33),0)</f>
        <v/>
      </c>
      <c r="AP6" s="26">
        <f>IFERROR(INDEX(Cobb_PS_Eggs,34),0)</f>
        <v/>
      </c>
      <c r="AQ6" s="26">
        <f>IFERROR(INDEX(Cobb_PS_Eggs,35),0)</f>
        <v/>
      </c>
      <c r="AR6" s="26">
        <f>IFERROR(INDEX(Cobb_PS_Eggs,36),0)</f>
        <v/>
      </c>
      <c r="AS6" s="26">
        <f>IFERROR(INDEX(Cobb_PS_Eggs,37),0)</f>
        <v/>
      </c>
      <c r="AT6" s="26">
        <f>IFERROR(INDEX(Cobb_PS_Eggs,38),0)</f>
        <v/>
      </c>
      <c r="AU6" s="26">
        <f>IFERROR(INDEX(Cobb_PS_Eggs,39),0)</f>
        <v/>
      </c>
      <c r="AV6" s="26">
        <f>IFERROR(INDEX(Cobb_PS_Eggs,40),0)</f>
        <v/>
      </c>
      <c r="AW6" s="26">
        <f>IFERROR(INDEX(Cobb_PS_Eggs,41),0)</f>
        <v/>
      </c>
      <c r="AX6" s="26">
        <f>IFERROR(INDEX(Cobb_PS_Eggs,42),0)</f>
        <v/>
      </c>
      <c r="AY6" s="26">
        <f>IFERROR(INDEX(Cobb_PS_Eggs,43),0)</f>
        <v/>
      </c>
      <c r="AZ6" s="26">
        <f>IFERROR(INDEX(Cobb_PS_Eggs,44),0)</f>
        <v/>
      </c>
      <c r="BA6" s="26">
        <f>IFERROR(INDEX(Cobb_PS_Eggs,45),0)</f>
        <v/>
      </c>
      <c r="BB6" s="26">
        <f>IFERROR(INDEX(Cobb_PS_Eggs,46),0)</f>
        <v/>
      </c>
      <c r="BC6" s="26">
        <f>IFERROR(INDEX(Cobb_PS_Eggs,47),0)</f>
        <v/>
      </c>
      <c r="BD6" s="26">
        <f>IFERROR(INDEX(Cobb_PS_Eggs,48),0)</f>
        <v/>
      </c>
      <c r="BE6" s="26">
        <f>IFERROR(INDEX(Cobb_PS_Eggs,49),0)</f>
        <v/>
      </c>
      <c r="BF6" s="26">
        <f>IFERROR(INDEX(Cobb_PS_Eggs,50),0)</f>
        <v/>
      </c>
      <c r="BG6" s="26">
        <f>IFERROR(INDEX(Cobb_PS_Eggs,51),0)</f>
        <v/>
      </c>
      <c r="BH6" s="26">
        <f>IFERROR(INDEX(Cobb_PS_Eggs,52),0)</f>
        <v/>
      </c>
    </row>
    <row r="7" ht="16" customHeight="1">
      <c r="A7" s="31" t="inlineStr">
        <is>
          <t>PS Hatchery Utilisation %</t>
        </is>
      </c>
      <c r="B7" s="32">
        <f> Eggs Set ÷ param_PSHatchery_Capacity</f>
        <v/>
      </c>
      <c r="I7" s="35">
        <f>IFERROR(I6/param_PSHatchery_Capacity,0)</f>
        <v/>
      </c>
      <c r="J7" s="35">
        <f>IFERROR(J6/param_PSHatchery_Capacity,0)</f>
        <v/>
      </c>
      <c r="K7" s="35">
        <f>IFERROR(K6/param_PSHatchery_Capacity,0)</f>
        <v/>
      </c>
      <c r="L7" s="35">
        <f>IFERROR(L6/param_PSHatchery_Capacity,0)</f>
        <v/>
      </c>
      <c r="M7" s="35">
        <f>IFERROR(M6/param_PSHatchery_Capacity,0)</f>
        <v/>
      </c>
      <c r="N7" s="35">
        <f>IFERROR(N6/param_PSHatchery_Capacity,0)</f>
        <v/>
      </c>
      <c r="O7" s="35">
        <f>IFERROR(O6/param_PSHatchery_Capacity,0)</f>
        <v/>
      </c>
      <c r="P7" s="35">
        <f>IFERROR(P6/param_PSHatchery_Capacity,0)</f>
        <v/>
      </c>
      <c r="Q7" s="35">
        <f>IFERROR(Q6/param_PSHatchery_Capacity,0)</f>
        <v/>
      </c>
      <c r="R7" s="35">
        <f>IFERROR(R6/param_PSHatchery_Capacity,0)</f>
        <v/>
      </c>
      <c r="S7" s="35">
        <f>IFERROR(S6/param_PSHatchery_Capacity,0)</f>
        <v/>
      </c>
      <c r="T7" s="35">
        <f>IFERROR(T6/param_PSHatchery_Capacity,0)</f>
        <v/>
      </c>
      <c r="U7" s="35">
        <f>IFERROR(U6/param_PSHatchery_Capacity,0)</f>
        <v/>
      </c>
      <c r="V7" s="35">
        <f>IFERROR(V6/param_PSHatchery_Capacity,0)</f>
        <v/>
      </c>
      <c r="W7" s="35">
        <f>IFERROR(W6/param_PSHatchery_Capacity,0)</f>
        <v/>
      </c>
      <c r="X7" s="35">
        <f>IFERROR(X6/param_PSHatchery_Capacity,0)</f>
        <v/>
      </c>
      <c r="Y7" s="35">
        <f>IFERROR(Y6/param_PSHatchery_Capacity,0)</f>
        <v/>
      </c>
      <c r="Z7" s="35">
        <f>IFERROR(Z6/param_PSHatchery_Capacity,0)</f>
        <v/>
      </c>
      <c r="AA7" s="35">
        <f>IFERROR(AA6/param_PSHatchery_Capacity,0)</f>
        <v/>
      </c>
      <c r="AB7" s="35">
        <f>IFERROR(AB6/param_PSHatchery_Capacity,0)</f>
        <v/>
      </c>
      <c r="AC7" s="35">
        <f>IFERROR(AC6/param_PSHatchery_Capacity,0)</f>
        <v/>
      </c>
      <c r="AD7" s="35">
        <f>IFERROR(AD6/param_PSHatchery_Capacity,0)</f>
        <v/>
      </c>
      <c r="AE7" s="35">
        <f>IFERROR(AE6/param_PSHatchery_Capacity,0)</f>
        <v/>
      </c>
      <c r="AF7" s="35">
        <f>IFERROR(AF6/param_PSHatchery_Capacity,0)</f>
        <v/>
      </c>
      <c r="AG7" s="35">
        <f>IFERROR(AG6/param_PSHatchery_Capacity,0)</f>
        <v/>
      </c>
      <c r="AH7" s="35">
        <f>IFERROR(AH6/param_PSHatchery_Capacity,0)</f>
        <v/>
      </c>
      <c r="AI7" s="35">
        <f>IFERROR(AI6/param_PSHatchery_Capacity,0)</f>
        <v/>
      </c>
      <c r="AJ7" s="35">
        <f>IFERROR(AJ6/param_PSHatchery_Capacity,0)</f>
        <v/>
      </c>
      <c r="AK7" s="35">
        <f>IFERROR(AK6/param_PSHatchery_Capacity,0)</f>
        <v/>
      </c>
      <c r="AL7" s="35">
        <f>IFERROR(AL6/param_PSHatchery_Capacity,0)</f>
        <v/>
      </c>
      <c r="AM7" s="35">
        <f>IFERROR(AM6/param_PSHatchery_Capacity,0)</f>
        <v/>
      </c>
      <c r="AN7" s="35">
        <f>IFERROR(AN6/param_PSHatchery_Capacity,0)</f>
        <v/>
      </c>
      <c r="AO7" s="35">
        <f>IFERROR(AO6/param_PSHatchery_Capacity,0)</f>
        <v/>
      </c>
      <c r="AP7" s="35">
        <f>IFERROR(AP6/param_PSHatchery_Capacity,0)</f>
        <v/>
      </c>
      <c r="AQ7" s="35">
        <f>IFERROR(AQ6/param_PSHatchery_Capacity,0)</f>
        <v/>
      </c>
      <c r="AR7" s="35">
        <f>IFERROR(AR6/param_PSHatchery_Capacity,0)</f>
        <v/>
      </c>
      <c r="AS7" s="35">
        <f>IFERROR(AS6/param_PSHatchery_Capacity,0)</f>
        <v/>
      </c>
      <c r="AT7" s="35">
        <f>IFERROR(AT6/param_PSHatchery_Capacity,0)</f>
        <v/>
      </c>
      <c r="AU7" s="35">
        <f>IFERROR(AU6/param_PSHatchery_Capacity,0)</f>
        <v/>
      </c>
      <c r="AV7" s="35">
        <f>IFERROR(AV6/param_PSHatchery_Capacity,0)</f>
        <v/>
      </c>
      <c r="AW7" s="35">
        <f>IFERROR(AW6/param_PSHatchery_Capacity,0)</f>
        <v/>
      </c>
      <c r="AX7" s="35">
        <f>IFERROR(AX6/param_PSHatchery_Capacity,0)</f>
        <v/>
      </c>
      <c r="AY7" s="35">
        <f>IFERROR(AY6/param_PSHatchery_Capacity,0)</f>
        <v/>
      </c>
      <c r="AZ7" s="35">
        <f>IFERROR(AZ6/param_PSHatchery_Capacity,0)</f>
        <v/>
      </c>
      <c r="BA7" s="35">
        <f>IFERROR(BA6/param_PSHatchery_Capacity,0)</f>
        <v/>
      </c>
      <c r="BB7" s="35">
        <f>IFERROR(BB6/param_PSHatchery_Capacity,0)</f>
        <v/>
      </c>
      <c r="BC7" s="35">
        <f>IFERROR(BC6/param_PSHatchery_Capacity,0)</f>
        <v/>
      </c>
      <c r="BD7" s="35">
        <f>IFERROR(BD6/param_PSHatchery_Capacity,0)</f>
        <v/>
      </c>
      <c r="BE7" s="35">
        <f>IFERROR(BE6/param_PSHatchery_Capacity,0)</f>
        <v/>
      </c>
      <c r="BF7" s="35">
        <f>IFERROR(BF6/param_PSHatchery_Capacity,0)</f>
        <v/>
      </c>
      <c r="BG7" s="35">
        <f>IFERROR(BG6/param_PSHatchery_Capacity,0)</f>
        <v/>
      </c>
      <c r="BH7" s="35">
        <f>IFERROR(BH6/param_PSHatchery_Capacity,0)</f>
        <v/>
      </c>
    </row>
    <row r="8" ht="16" customHeight="1">
      <c r="A8" s="69" t="inlineStr">
        <is>
          <t>↓  21-day incubation  ↓</t>
        </is>
      </c>
      <c r="B8" s="37" t="inlineStr">
        <is>
          <t>(Broiler DOC hatch date = Setting date + 21 days = +3 weeks)</t>
        </is>
      </c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8" t="n"/>
      <c r="AW8" s="38" t="n"/>
      <c r="AX8" s="38" t="n"/>
      <c r="AY8" s="38" t="n"/>
      <c r="AZ8" s="38" t="n"/>
      <c r="BA8" s="38" t="n"/>
      <c r="BB8" s="38" t="n"/>
      <c r="BC8" s="38" t="n"/>
      <c r="BD8" s="38" t="n"/>
      <c r="BE8" s="38" t="n"/>
      <c r="BF8" s="38" t="n"/>
      <c r="BG8" s="38" t="n"/>
      <c r="BH8" s="38" t="n"/>
    </row>
    <row r="9" ht="16" customHeight="1">
      <c r="A9" s="54" t="inlineStr">
        <is>
          <t>Broiler DOC — Cobb-500</t>
        </is>
      </c>
      <c r="B9" s="70">
        <f> Eggs Set [3 wk ago] × param_PS_CobbHatchRate  →  FEEDS TAB 6</f>
        <v/>
      </c>
      <c r="I9" s="71">
        <f>0</f>
        <v/>
      </c>
      <c r="J9" s="71">
        <f>0</f>
        <v/>
      </c>
      <c r="K9" s="71">
        <f>0</f>
        <v/>
      </c>
      <c r="L9" s="71">
        <f>IFERROR(ROUND(I6*param_PS_CobbHatchRate,0),0)</f>
        <v/>
      </c>
      <c r="M9" s="71">
        <f>IFERROR(ROUND(J6*param_PS_CobbHatchRate,0),0)</f>
        <v/>
      </c>
      <c r="N9" s="71">
        <f>IFERROR(ROUND(K6*param_PS_CobbHatchRate,0),0)</f>
        <v/>
      </c>
      <c r="O9" s="71">
        <f>IFERROR(ROUND(L6*param_PS_CobbHatchRate,0),0)</f>
        <v/>
      </c>
      <c r="P9" s="71">
        <f>IFERROR(ROUND(M6*param_PS_CobbHatchRate,0),0)</f>
        <v/>
      </c>
      <c r="Q9" s="71">
        <f>IFERROR(ROUND(N6*param_PS_CobbHatchRate,0),0)</f>
        <v/>
      </c>
      <c r="R9" s="71">
        <f>IFERROR(ROUND(O6*param_PS_CobbHatchRate,0),0)</f>
        <v/>
      </c>
      <c r="S9" s="71">
        <f>IFERROR(ROUND(P6*param_PS_CobbHatchRate,0),0)</f>
        <v/>
      </c>
      <c r="T9" s="71">
        <f>IFERROR(ROUND(Q6*param_PS_CobbHatchRate,0),0)</f>
        <v/>
      </c>
      <c r="U9" s="71">
        <f>IFERROR(ROUND(R6*param_PS_CobbHatchRate,0),0)</f>
        <v/>
      </c>
      <c r="V9" s="71">
        <f>IFERROR(ROUND(S6*param_PS_CobbHatchRate,0),0)</f>
        <v/>
      </c>
      <c r="W9" s="71">
        <f>IFERROR(ROUND(T6*param_PS_CobbHatchRate,0),0)</f>
        <v/>
      </c>
      <c r="X9" s="71">
        <f>IFERROR(ROUND(U6*param_PS_CobbHatchRate,0),0)</f>
        <v/>
      </c>
      <c r="Y9" s="71">
        <f>IFERROR(ROUND(V6*param_PS_CobbHatchRate,0),0)</f>
        <v/>
      </c>
      <c r="Z9" s="71">
        <f>IFERROR(ROUND(W6*param_PS_CobbHatchRate,0),0)</f>
        <v/>
      </c>
      <c r="AA9" s="71">
        <f>IFERROR(ROUND(X6*param_PS_CobbHatchRate,0),0)</f>
        <v/>
      </c>
      <c r="AB9" s="71">
        <f>IFERROR(ROUND(Y6*param_PS_CobbHatchRate,0),0)</f>
        <v/>
      </c>
      <c r="AC9" s="71">
        <f>IFERROR(ROUND(Z6*param_PS_CobbHatchRate,0),0)</f>
        <v/>
      </c>
      <c r="AD9" s="71">
        <f>IFERROR(ROUND(AA6*param_PS_CobbHatchRate,0),0)</f>
        <v/>
      </c>
      <c r="AE9" s="71">
        <f>IFERROR(ROUND(AB6*param_PS_CobbHatchRate,0),0)</f>
        <v/>
      </c>
      <c r="AF9" s="71">
        <f>IFERROR(ROUND(AC6*param_PS_CobbHatchRate,0),0)</f>
        <v/>
      </c>
      <c r="AG9" s="71">
        <f>IFERROR(ROUND(AD6*param_PS_CobbHatchRate,0),0)</f>
        <v/>
      </c>
      <c r="AH9" s="71">
        <f>IFERROR(ROUND(AE6*param_PS_CobbHatchRate,0),0)</f>
        <v/>
      </c>
      <c r="AI9" s="71">
        <f>IFERROR(ROUND(AF6*param_PS_CobbHatchRate,0),0)</f>
        <v/>
      </c>
      <c r="AJ9" s="71">
        <f>IFERROR(ROUND(AG6*param_PS_CobbHatchRate,0),0)</f>
        <v/>
      </c>
      <c r="AK9" s="71">
        <f>IFERROR(ROUND(AH6*param_PS_CobbHatchRate,0),0)</f>
        <v/>
      </c>
      <c r="AL9" s="71">
        <f>IFERROR(ROUND(AI6*param_PS_CobbHatchRate,0),0)</f>
        <v/>
      </c>
      <c r="AM9" s="71">
        <f>IFERROR(ROUND(AJ6*param_PS_CobbHatchRate,0),0)</f>
        <v/>
      </c>
      <c r="AN9" s="71">
        <f>IFERROR(ROUND(AK6*param_PS_CobbHatchRate,0),0)</f>
        <v/>
      </c>
      <c r="AO9" s="71">
        <f>IFERROR(ROUND(AL6*param_PS_CobbHatchRate,0),0)</f>
        <v/>
      </c>
      <c r="AP9" s="71">
        <f>IFERROR(ROUND(AM6*param_PS_CobbHatchRate,0),0)</f>
        <v/>
      </c>
      <c r="AQ9" s="71">
        <f>IFERROR(ROUND(AN6*param_PS_CobbHatchRate,0),0)</f>
        <v/>
      </c>
      <c r="AR9" s="71">
        <f>IFERROR(ROUND(AO6*param_PS_CobbHatchRate,0),0)</f>
        <v/>
      </c>
      <c r="AS9" s="71">
        <f>IFERROR(ROUND(AP6*param_PS_CobbHatchRate,0),0)</f>
        <v/>
      </c>
      <c r="AT9" s="71">
        <f>IFERROR(ROUND(AQ6*param_PS_CobbHatchRate,0),0)</f>
        <v/>
      </c>
      <c r="AU9" s="71">
        <f>IFERROR(ROUND(AR6*param_PS_CobbHatchRate,0),0)</f>
        <v/>
      </c>
      <c r="AV9" s="71">
        <f>IFERROR(ROUND(AS6*param_PS_CobbHatchRate,0),0)</f>
        <v/>
      </c>
      <c r="AW9" s="71">
        <f>IFERROR(ROUND(AT6*param_PS_CobbHatchRate,0),0)</f>
        <v/>
      </c>
      <c r="AX9" s="71">
        <f>IFERROR(ROUND(AU6*param_PS_CobbHatchRate,0),0)</f>
        <v/>
      </c>
      <c r="AY9" s="71">
        <f>IFERROR(ROUND(AV6*param_PS_CobbHatchRate,0),0)</f>
        <v/>
      </c>
      <c r="AZ9" s="71">
        <f>IFERROR(ROUND(AW6*param_PS_CobbHatchRate,0),0)</f>
        <v/>
      </c>
      <c r="BA9" s="71">
        <f>IFERROR(ROUND(AX6*param_PS_CobbHatchRate,0),0)</f>
        <v/>
      </c>
      <c r="BB9" s="71">
        <f>IFERROR(ROUND(AY6*param_PS_CobbHatchRate,0),0)</f>
        <v/>
      </c>
      <c r="BC9" s="71">
        <f>IFERROR(ROUND(AZ6*param_PS_CobbHatchRate,0),0)</f>
        <v/>
      </c>
      <c r="BD9" s="71">
        <f>IFERROR(ROUND(BA6*param_PS_CobbHatchRate,0),0)</f>
        <v/>
      </c>
      <c r="BE9" s="71">
        <f>IFERROR(ROUND(BB6*param_PS_CobbHatchRate,0),0)</f>
        <v/>
      </c>
      <c r="BF9" s="71">
        <f>IFERROR(ROUND(BC6*param_PS_CobbHatchRate,0),0)</f>
        <v/>
      </c>
      <c r="BG9" s="71">
        <f>IFERROR(ROUND(BD6*param_PS_CobbHatchRate,0),0)</f>
        <v/>
      </c>
      <c r="BH9" s="71">
        <f>IFERROR(ROUND(BE6*param_PS_CobbHatchRate,0),0)</f>
        <v/>
      </c>
    </row>
  </sheetData>
  <mergeCells count="3">
    <mergeCell ref="A1:BB1"/>
    <mergeCell ref="A2:BB2"/>
    <mergeCell ref="I3:BH3"/>
  </mergeCells>
  <conditionalFormatting sqref="I7:BH7">
    <cfRule type="cellIs" priority="1" operator="greaterThan" dxfId="1">
      <formula>0.9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</cols>
  <sheetData>
    <row r="1" ht="26" customHeight="1">
      <c r="A1" s="1" t="inlineStr">
        <is>
          <t>TAB 5 — ROSS-308 PS HATCHERY  |  Breed: Ross-308  |  Input: PS Hatching Eggs (from Tab 3)  →  Output: Broiler DOC  |  Incubation: 21 days</t>
        </is>
      </c>
    </row>
    <row r="2" ht="13" customHeight="1">
      <c r="A2" s="3" t="inlineStr">
        <is>
          <t>[AR: TBD — مفرخة الأمهات Ross-308 / Ross-308 PS Hatchery]</t>
        </is>
      </c>
    </row>
    <row r="3" ht="22" customHeight="1">
      <c r="A3" s="4" t="inlineStr">
        <is>
          <t>Metric</t>
        </is>
      </c>
      <c r="B3" s="4" t="inlineStr">
        <is>
          <t>Description</t>
        </is>
      </c>
      <c r="I3" s="72" t="inlineStr">
        <is>
          <t>◀  ROSS-308 PS HATCHERY — WEEKLY SCHEDULE  ▶</t>
        </is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7" t="n"/>
    </row>
    <row r="4" ht="14" customHeight="1">
      <c r="I4" s="8" t="inlineStr">
        <is>
          <t>Wk 1</t>
        </is>
      </c>
      <c r="J4" s="8" t="inlineStr">
        <is>
          <t>Wk 2</t>
        </is>
      </c>
      <c r="K4" s="8" t="inlineStr">
        <is>
          <t>Wk 3</t>
        </is>
      </c>
      <c r="L4" s="8" t="inlineStr">
        <is>
          <t>Wk 4</t>
        </is>
      </c>
      <c r="M4" s="8" t="inlineStr">
        <is>
          <t>Wk 5</t>
        </is>
      </c>
      <c r="N4" s="8" t="inlineStr">
        <is>
          <t>Wk 6</t>
        </is>
      </c>
      <c r="O4" s="8" t="inlineStr">
        <is>
          <t>Wk 7</t>
        </is>
      </c>
      <c r="P4" s="8" t="inlineStr">
        <is>
          <t>Wk 8</t>
        </is>
      </c>
      <c r="Q4" s="8" t="inlineStr">
        <is>
          <t>Wk 9</t>
        </is>
      </c>
      <c r="R4" s="8" t="inlineStr">
        <is>
          <t>Wk 10</t>
        </is>
      </c>
      <c r="S4" s="8" t="inlineStr">
        <is>
          <t>Wk 11</t>
        </is>
      </c>
      <c r="T4" s="8" t="inlineStr">
        <is>
          <t>Wk 12</t>
        </is>
      </c>
      <c r="U4" s="8" t="inlineStr">
        <is>
          <t>Wk 13</t>
        </is>
      </c>
      <c r="V4" s="8" t="inlineStr">
        <is>
          <t>Wk 14</t>
        </is>
      </c>
      <c r="W4" s="8" t="inlineStr">
        <is>
          <t>Wk 15</t>
        </is>
      </c>
      <c r="X4" s="8" t="inlineStr">
        <is>
          <t>Wk 16</t>
        </is>
      </c>
      <c r="Y4" s="8" t="inlineStr">
        <is>
          <t>Wk 17</t>
        </is>
      </c>
      <c r="Z4" s="8" t="inlineStr">
        <is>
          <t>Wk 18</t>
        </is>
      </c>
      <c r="AA4" s="8" t="inlineStr">
        <is>
          <t>Wk 19</t>
        </is>
      </c>
      <c r="AB4" s="8" t="inlineStr">
        <is>
          <t>Wk 20</t>
        </is>
      </c>
      <c r="AC4" s="8" t="inlineStr">
        <is>
          <t>Wk 21</t>
        </is>
      </c>
      <c r="AD4" s="8" t="inlineStr">
        <is>
          <t>Wk 22</t>
        </is>
      </c>
      <c r="AE4" s="8" t="inlineStr">
        <is>
          <t>Wk 23</t>
        </is>
      </c>
      <c r="AF4" s="8" t="inlineStr">
        <is>
          <t>Wk 24</t>
        </is>
      </c>
      <c r="AG4" s="8" t="inlineStr">
        <is>
          <t>Wk 25</t>
        </is>
      </c>
      <c r="AH4" s="8" t="inlineStr">
        <is>
          <t>Wk 26</t>
        </is>
      </c>
      <c r="AI4" s="8" t="inlineStr">
        <is>
          <t>Wk 27</t>
        </is>
      </c>
      <c r="AJ4" s="8" t="inlineStr">
        <is>
          <t>Wk 28</t>
        </is>
      </c>
      <c r="AK4" s="8" t="inlineStr">
        <is>
          <t>Wk 29</t>
        </is>
      </c>
      <c r="AL4" s="8" t="inlineStr">
        <is>
          <t>Wk 30</t>
        </is>
      </c>
      <c r="AM4" s="8" t="inlineStr">
        <is>
          <t>Wk 31</t>
        </is>
      </c>
      <c r="AN4" s="8" t="inlineStr">
        <is>
          <t>Wk 32</t>
        </is>
      </c>
      <c r="AO4" s="8" t="inlineStr">
        <is>
          <t>Wk 33</t>
        </is>
      </c>
      <c r="AP4" s="8" t="inlineStr">
        <is>
          <t>Wk 34</t>
        </is>
      </c>
      <c r="AQ4" s="8" t="inlineStr">
        <is>
          <t>Wk 35</t>
        </is>
      </c>
      <c r="AR4" s="8" t="inlineStr">
        <is>
          <t>Wk 36</t>
        </is>
      </c>
      <c r="AS4" s="8" t="inlineStr">
        <is>
          <t>Wk 37</t>
        </is>
      </c>
      <c r="AT4" s="8" t="inlineStr">
        <is>
          <t>Wk 38</t>
        </is>
      </c>
      <c r="AU4" s="8" t="inlineStr">
        <is>
          <t>Wk 39</t>
        </is>
      </c>
      <c r="AV4" s="8" t="inlineStr">
        <is>
          <t>Wk 40</t>
        </is>
      </c>
      <c r="AW4" s="8" t="inlineStr">
        <is>
          <t>Wk 41</t>
        </is>
      </c>
      <c r="AX4" s="8" t="inlineStr">
        <is>
          <t>Wk 42</t>
        </is>
      </c>
      <c r="AY4" s="8" t="inlineStr">
        <is>
          <t>Wk 43</t>
        </is>
      </c>
      <c r="AZ4" s="8" t="inlineStr">
        <is>
          <t>Wk 44</t>
        </is>
      </c>
      <c r="BA4" s="8" t="inlineStr">
        <is>
          <t>Wk 45</t>
        </is>
      </c>
      <c r="BB4" s="8" t="inlineStr">
        <is>
          <t>Wk 46</t>
        </is>
      </c>
      <c r="BC4" s="8" t="inlineStr">
        <is>
          <t>Wk 47</t>
        </is>
      </c>
      <c r="BD4" s="8" t="inlineStr">
        <is>
          <t>Wk 48</t>
        </is>
      </c>
      <c r="BE4" s="8" t="inlineStr">
        <is>
          <t>Wk 49</t>
        </is>
      </c>
      <c r="BF4" s="8" t="inlineStr">
        <is>
          <t>Wk 50</t>
        </is>
      </c>
      <c r="BG4" s="8" t="inlineStr">
        <is>
          <t>Wk 51</t>
        </is>
      </c>
      <c r="BH4" s="8" t="inlineStr">
        <is>
          <t>Wk 52</t>
        </is>
      </c>
    </row>
    <row r="5" ht="16" customHeight="1">
      <c r="A5" s="31" t="inlineStr">
        <is>
          <t>Ross-308 PS Settable Eggs Available</t>
        </is>
      </c>
      <c r="B5" s="32" t="inlineStr">
        <is>
          <t>From Tab 3 — Ross-308 PS Total Settable Eggs</t>
        </is>
      </c>
      <c r="I5" s="14">
        <f>IFERROR(INDEX(Ross_PS_Eggs,1),0)</f>
        <v/>
      </c>
      <c r="J5" s="14">
        <f>IFERROR(INDEX(Ross_PS_Eggs,2),0)</f>
        <v/>
      </c>
      <c r="K5" s="14">
        <f>IFERROR(INDEX(Ross_PS_Eggs,3),0)</f>
        <v/>
      </c>
      <c r="L5" s="14">
        <f>IFERROR(INDEX(Ross_PS_Eggs,4),0)</f>
        <v/>
      </c>
      <c r="M5" s="14">
        <f>IFERROR(INDEX(Ross_PS_Eggs,5),0)</f>
        <v/>
      </c>
      <c r="N5" s="14">
        <f>IFERROR(INDEX(Ross_PS_Eggs,6),0)</f>
        <v/>
      </c>
      <c r="O5" s="14">
        <f>IFERROR(INDEX(Ross_PS_Eggs,7),0)</f>
        <v/>
      </c>
      <c r="P5" s="14">
        <f>IFERROR(INDEX(Ross_PS_Eggs,8),0)</f>
        <v/>
      </c>
      <c r="Q5" s="14">
        <f>IFERROR(INDEX(Ross_PS_Eggs,9),0)</f>
        <v/>
      </c>
      <c r="R5" s="14">
        <f>IFERROR(INDEX(Ross_PS_Eggs,10),0)</f>
        <v/>
      </c>
      <c r="S5" s="14">
        <f>IFERROR(INDEX(Ross_PS_Eggs,11),0)</f>
        <v/>
      </c>
      <c r="T5" s="14">
        <f>IFERROR(INDEX(Ross_PS_Eggs,12),0)</f>
        <v/>
      </c>
      <c r="U5" s="14">
        <f>IFERROR(INDEX(Ross_PS_Eggs,13),0)</f>
        <v/>
      </c>
      <c r="V5" s="14">
        <f>IFERROR(INDEX(Ross_PS_Eggs,14),0)</f>
        <v/>
      </c>
      <c r="W5" s="14">
        <f>IFERROR(INDEX(Ross_PS_Eggs,15),0)</f>
        <v/>
      </c>
      <c r="X5" s="14">
        <f>IFERROR(INDEX(Ross_PS_Eggs,16),0)</f>
        <v/>
      </c>
      <c r="Y5" s="14">
        <f>IFERROR(INDEX(Ross_PS_Eggs,17),0)</f>
        <v/>
      </c>
      <c r="Z5" s="14">
        <f>IFERROR(INDEX(Ross_PS_Eggs,18),0)</f>
        <v/>
      </c>
      <c r="AA5" s="14">
        <f>IFERROR(INDEX(Ross_PS_Eggs,19),0)</f>
        <v/>
      </c>
      <c r="AB5" s="14">
        <f>IFERROR(INDEX(Ross_PS_Eggs,20),0)</f>
        <v/>
      </c>
      <c r="AC5" s="14">
        <f>IFERROR(INDEX(Ross_PS_Eggs,21),0)</f>
        <v/>
      </c>
      <c r="AD5" s="14">
        <f>IFERROR(INDEX(Ross_PS_Eggs,22),0)</f>
        <v/>
      </c>
      <c r="AE5" s="14">
        <f>IFERROR(INDEX(Ross_PS_Eggs,23),0)</f>
        <v/>
      </c>
      <c r="AF5" s="14">
        <f>IFERROR(INDEX(Ross_PS_Eggs,24),0)</f>
        <v/>
      </c>
      <c r="AG5" s="14">
        <f>IFERROR(INDEX(Ross_PS_Eggs,25),0)</f>
        <v/>
      </c>
      <c r="AH5" s="14">
        <f>IFERROR(INDEX(Ross_PS_Eggs,26),0)</f>
        <v/>
      </c>
      <c r="AI5" s="14">
        <f>IFERROR(INDEX(Ross_PS_Eggs,27),0)</f>
        <v/>
      </c>
      <c r="AJ5" s="14">
        <f>IFERROR(INDEX(Ross_PS_Eggs,28),0)</f>
        <v/>
      </c>
      <c r="AK5" s="14">
        <f>IFERROR(INDEX(Ross_PS_Eggs,29),0)</f>
        <v/>
      </c>
      <c r="AL5" s="14">
        <f>IFERROR(INDEX(Ross_PS_Eggs,30),0)</f>
        <v/>
      </c>
      <c r="AM5" s="14">
        <f>IFERROR(INDEX(Ross_PS_Eggs,31),0)</f>
        <v/>
      </c>
      <c r="AN5" s="14">
        <f>IFERROR(INDEX(Ross_PS_Eggs,32),0)</f>
        <v/>
      </c>
      <c r="AO5" s="14">
        <f>IFERROR(INDEX(Ross_PS_Eggs,33),0)</f>
        <v/>
      </c>
      <c r="AP5" s="14">
        <f>IFERROR(INDEX(Ross_PS_Eggs,34),0)</f>
        <v/>
      </c>
      <c r="AQ5" s="14">
        <f>IFERROR(INDEX(Ross_PS_Eggs,35),0)</f>
        <v/>
      </c>
      <c r="AR5" s="14">
        <f>IFERROR(INDEX(Ross_PS_Eggs,36),0)</f>
        <v/>
      </c>
      <c r="AS5" s="14">
        <f>IFERROR(INDEX(Ross_PS_Eggs,37),0)</f>
        <v/>
      </c>
      <c r="AT5" s="14">
        <f>IFERROR(INDEX(Ross_PS_Eggs,38),0)</f>
        <v/>
      </c>
      <c r="AU5" s="14">
        <f>IFERROR(INDEX(Ross_PS_Eggs,39),0)</f>
        <v/>
      </c>
      <c r="AV5" s="14">
        <f>IFERROR(INDEX(Ross_PS_Eggs,40),0)</f>
        <v/>
      </c>
      <c r="AW5" s="14">
        <f>IFERROR(INDEX(Ross_PS_Eggs,41),0)</f>
        <v/>
      </c>
      <c r="AX5" s="14">
        <f>IFERROR(INDEX(Ross_PS_Eggs,42),0)</f>
        <v/>
      </c>
      <c r="AY5" s="14">
        <f>IFERROR(INDEX(Ross_PS_Eggs,43),0)</f>
        <v/>
      </c>
      <c r="AZ5" s="14">
        <f>IFERROR(INDEX(Ross_PS_Eggs,44),0)</f>
        <v/>
      </c>
      <c r="BA5" s="14">
        <f>IFERROR(INDEX(Ross_PS_Eggs,45),0)</f>
        <v/>
      </c>
      <c r="BB5" s="14">
        <f>IFERROR(INDEX(Ross_PS_Eggs,46),0)</f>
        <v/>
      </c>
      <c r="BC5" s="14">
        <f>IFERROR(INDEX(Ross_PS_Eggs,47),0)</f>
        <v/>
      </c>
      <c r="BD5" s="14">
        <f>IFERROR(INDEX(Ross_PS_Eggs,48),0)</f>
        <v/>
      </c>
      <c r="BE5" s="14">
        <f>IFERROR(INDEX(Ross_PS_Eggs,49),0)</f>
        <v/>
      </c>
      <c r="BF5" s="14">
        <f>IFERROR(INDEX(Ross_PS_Eggs,50),0)</f>
        <v/>
      </c>
      <c r="BG5" s="14">
        <f>IFERROR(INDEX(Ross_PS_Eggs,51),0)</f>
        <v/>
      </c>
      <c r="BH5" s="14">
        <f>IFERROR(INDEX(Ross_PS_Eggs,52),0)</f>
        <v/>
      </c>
    </row>
    <row r="6" ht="16" customHeight="1">
      <c r="A6" s="33" t="inlineStr">
        <is>
          <t>Ross-308 PS Eggs Actually Set</t>
        </is>
      </c>
      <c r="B6" s="34">
        <f> Available (reduce if hatchery at capacity) — EDITABLE</f>
        <v/>
      </c>
      <c r="I6" s="26">
        <f>IFERROR(INDEX(Ross_PS_Eggs,1),0)</f>
        <v/>
      </c>
      <c r="J6" s="26">
        <f>IFERROR(INDEX(Ross_PS_Eggs,2),0)</f>
        <v/>
      </c>
      <c r="K6" s="26">
        <f>IFERROR(INDEX(Ross_PS_Eggs,3),0)</f>
        <v/>
      </c>
      <c r="L6" s="26">
        <f>IFERROR(INDEX(Ross_PS_Eggs,4),0)</f>
        <v/>
      </c>
      <c r="M6" s="26">
        <f>IFERROR(INDEX(Ross_PS_Eggs,5),0)</f>
        <v/>
      </c>
      <c r="N6" s="26">
        <f>IFERROR(INDEX(Ross_PS_Eggs,6),0)</f>
        <v/>
      </c>
      <c r="O6" s="26">
        <f>IFERROR(INDEX(Ross_PS_Eggs,7),0)</f>
        <v/>
      </c>
      <c r="P6" s="26">
        <f>IFERROR(INDEX(Ross_PS_Eggs,8),0)</f>
        <v/>
      </c>
      <c r="Q6" s="26">
        <f>IFERROR(INDEX(Ross_PS_Eggs,9),0)</f>
        <v/>
      </c>
      <c r="R6" s="26">
        <f>IFERROR(INDEX(Ross_PS_Eggs,10),0)</f>
        <v/>
      </c>
      <c r="S6" s="26">
        <f>IFERROR(INDEX(Ross_PS_Eggs,11),0)</f>
        <v/>
      </c>
      <c r="T6" s="26">
        <f>IFERROR(INDEX(Ross_PS_Eggs,12),0)</f>
        <v/>
      </c>
      <c r="U6" s="26">
        <f>IFERROR(INDEX(Ross_PS_Eggs,13),0)</f>
        <v/>
      </c>
      <c r="V6" s="26">
        <f>IFERROR(INDEX(Ross_PS_Eggs,14),0)</f>
        <v/>
      </c>
      <c r="W6" s="26">
        <f>IFERROR(INDEX(Ross_PS_Eggs,15),0)</f>
        <v/>
      </c>
      <c r="X6" s="26">
        <f>IFERROR(INDEX(Ross_PS_Eggs,16),0)</f>
        <v/>
      </c>
      <c r="Y6" s="26">
        <f>IFERROR(INDEX(Ross_PS_Eggs,17),0)</f>
        <v/>
      </c>
      <c r="Z6" s="26">
        <f>IFERROR(INDEX(Ross_PS_Eggs,18),0)</f>
        <v/>
      </c>
      <c r="AA6" s="26">
        <f>IFERROR(INDEX(Ross_PS_Eggs,19),0)</f>
        <v/>
      </c>
      <c r="AB6" s="26">
        <f>IFERROR(INDEX(Ross_PS_Eggs,20),0)</f>
        <v/>
      </c>
      <c r="AC6" s="26">
        <f>IFERROR(INDEX(Ross_PS_Eggs,21),0)</f>
        <v/>
      </c>
      <c r="AD6" s="26">
        <f>IFERROR(INDEX(Ross_PS_Eggs,22),0)</f>
        <v/>
      </c>
      <c r="AE6" s="26">
        <f>IFERROR(INDEX(Ross_PS_Eggs,23),0)</f>
        <v/>
      </c>
      <c r="AF6" s="26">
        <f>IFERROR(INDEX(Ross_PS_Eggs,24),0)</f>
        <v/>
      </c>
      <c r="AG6" s="26">
        <f>IFERROR(INDEX(Ross_PS_Eggs,25),0)</f>
        <v/>
      </c>
      <c r="AH6" s="26">
        <f>IFERROR(INDEX(Ross_PS_Eggs,26),0)</f>
        <v/>
      </c>
      <c r="AI6" s="26">
        <f>IFERROR(INDEX(Ross_PS_Eggs,27),0)</f>
        <v/>
      </c>
      <c r="AJ6" s="26">
        <f>IFERROR(INDEX(Ross_PS_Eggs,28),0)</f>
        <v/>
      </c>
      <c r="AK6" s="26">
        <f>IFERROR(INDEX(Ross_PS_Eggs,29),0)</f>
        <v/>
      </c>
      <c r="AL6" s="26">
        <f>IFERROR(INDEX(Ross_PS_Eggs,30),0)</f>
        <v/>
      </c>
      <c r="AM6" s="26">
        <f>IFERROR(INDEX(Ross_PS_Eggs,31),0)</f>
        <v/>
      </c>
      <c r="AN6" s="26">
        <f>IFERROR(INDEX(Ross_PS_Eggs,32),0)</f>
        <v/>
      </c>
      <c r="AO6" s="26">
        <f>IFERROR(INDEX(Ross_PS_Eggs,33),0)</f>
        <v/>
      </c>
      <c r="AP6" s="26">
        <f>IFERROR(INDEX(Ross_PS_Eggs,34),0)</f>
        <v/>
      </c>
      <c r="AQ6" s="26">
        <f>IFERROR(INDEX(Ross_PS_Eggs,35),0)</f>
        <v/>
      </c>
      <c r="AR6" s="26">
        <f>IFERROR(INDEX(Ross_PS_Eggs,36),0)</f>
        <v/>
      </c>
      <c r="AS6" s="26">
        <f>IFERROR(INDEX(Ross_PS_Eggs,37),0)</f>
        <v/>
      </c>
      <c r="AT6" s="26">
        <f>IFERROR(INDEX(Ross_PS_Eggs,38),0)</f>
        <v/>
      </c>
      <c r="AU6" s="26">
        <f>IFERROR(INDEX(Ross_PS_Eggs,39),0)</f>
        <v/>
      </c>
      <c r="AV6" s="26">
        <f>IFERROR(INDEX(Ross_PS_Eggs,40),0)</f>
        <v/>
      </c>
      <c r="AW6" s="26">
        <f>IFERROR(INDEX(Ross_PS_Eggs,41),0)</f>
        <v/>
      </c>
      <c r="AX6" s="26">
        <f>IFERROR(INDEX(Ross_PS_Eggs,42),0)</f>
        <v/>
      </c>
      <c r="AY6" s="26">
        <f>IFERROR(INDEX(Ross_PS_Eggs,43),0)</f>
        <v/>
      </c>
      <c r="AZ6" s="26">
        <f>IFERROR(INDEX(Ross_PS_Eggs,44),0)</f>
        <v/>
      </c>
      <c r="BA6" s="26">
        <f>IFERROR(INDEX(Ross_PS_Eggs,45),0)</f>
        <v/>
      </c>
      <c r="BB6" s="26">
        <f>IFERROR(INDEX(Ross_PS_Eggs,46),0)</f>
        <v/>
      </c>
      <c r="BC6" s="26">
        <f>IFERROR(INDEX(Ross_PS_Eggs,47),0)</f>
        <v/>
      </c>
      <c r="BD6" s="26">
        <f>IFERROR(INDEX(Ross_PS_Eggs,48),0)</f>
        <v/>
      </c>
      <c r="BE6" s="26">
        <f>IFERROR(INDEX(Ross_PS_Eggs,49),0)</f>
        <v/>
      </c>
      <c r="BF6" s="26">
        <f>IFERROR(INDEX(Ross_PS_Eggs,50),0)</f>
        <v/>
      </c>
      <c r="BG6" s="26">
        <f>IFERROR(INDEX(Ross_PS_Eggs,51),0)</f>
        <v/>
      </c>
      <c r="BH6" s="26">
        <f>IFERROR(INDEX(Ross_PS_Eggs,52),0)</f>
        <v/>
      </c>
    </row>
    <row r="7" ht="16" customHeight="1">
      <c r="A7" s="31" t="inlineStr">
        <is>
          <t>PS Hatchery Utilisation %</t>
        </is>
      </c>
      <c r="B7" s="32">
        <f> Eggs Set ÷ param_PSHatchery_Capacity</f>
        <v/>
      </c>
      <c r="I7" s="35">
        <f>IFERROR(I6/param_PSHatchery_Capacity,0)</f>
        <v/>
      </c>
      <c r="J7" s="35">
        <f>IFERROR(J6/param_PSHatchery_Capacity,0)</f>
        <v/>
      </c>
      <c r="K7" s="35">
        <f>IFERROR(K6/param_PSHatchery_Capacity,0)</f>
        <v/>
      </c>
      <c r="L7" s="35">
        <f>IFERROR(L6/param_PSHatchery_Capacity,0)</f>
        <v/>
      </c>
      <c r="M7" s="35">
        <f>IFERROR(M6/param_PSHatchery_Capacity,0)</f>
        <v/>
      </c>
      <c r="N7" s="35">
        <f>IFERROR(N6/param_PSHatchery_Capacity,0)</f>
        <v/>
      </c>
      <c r="O7" s="35">
        <f>IFERROR(O6/param_PSHatchery_Capacity,0)</f>
        <v/>
      </c>
      <c r="P7" s="35">
        <f>IFERROR(P6/param_PSHatchery_Capacity,0)</f>
        <v/>
      </c>
      <c r="Q7" s="35">
        <f>IFERROR(Q6/param_PSHatchery_Capacity,0)</f>
        <v/>
      </c>
      <c r="R7" s="35">
        <f>IFERROR(R6/param_PSHatchery_Capacity,0)</f>
        <v/>
      </c>
      <c r="S7" s="35">
        <f>IFERROR(S6/param_PSHatchery_Capacity,0)</f>
        <v/>
      </c>
      <c r="T7" s="35">
        <f>IFERROR(T6/param_PSHatchery_Capacity,0)</f>
        <v/>
      </c>
      <c r="U7" s="35">
        <f>IFERROR(U6/param_PSHatchery_Capacity,0)</f>
        <v/>
      </c>
      <c r="V7" s="35">
        <f>IFERROR(V6/param_PSHatchery_Capacity,0)</f>
        <v/>
      </c>
      <c r="W7" s="35">
        <f>IFERROR(W6/param_PSHatchery_Capacity,0)</f>
        <v/>
      </c>
      <c r="X7" s="35">
        <f>IFERROR(X6/param_PSHatchery_Capacity,0)</f>
        <v/>
      </c>
      <c r="Y7" s="35">
        <f>IFERROR(Y6/param_PSHatchery_Capacity,0)</f>
        <v/>
      </c>
      <c r="Z7" s="35">
        <f>IFERROR(Z6/param_PSHatchery_Capacity,0)</f>
        <v/>
      </c>
      <c r="AA7" s="35">
        <f>IFERROR(AA6/param_PSHatchery_Capacity,0)</f>
        <v/>
      </c>
      <c r="AB7" s="35">
        <f>IFERROR(AB6/param_PSHatchery_Capacity,0)</f>
        <v/>
      </c>
      <c r="AC7" s="35">
        <f>IFERROR(AC6/param_PSHatchery_Capacity,0)</f>
        <v/>
      </c>
      <c r="AD7" s="35">
        <f>IFERROR(AD6/param_PSHatchery_Capacity,0)</f>
        <v/>
      </c>
      <c r="AE7" s="35">
        <f>IFERROR(AE6/param_PSHatchery_Capacity,0)</f>
        <v/>
      </c>
      <c r="AF7" s="35">
        <f>IFERROR(AF6/param_PSHatchery_Capacity,0)</f>
        <v/>
      </c>
      <c r="AG7" s="35">
        <f>IFERROR(AG6/param_PSHatchery_Capacity,0)</f>
        <v/>
      </c>
      <c r="AH7" s="35">
        <f>IFERROR(AH6/param_PSHatchery_Capacity,0)</f>
        <v/>
      </c>
      <c r="AI7" s="35">
        <f>IFERROR(AI6/param_PSHatchery_Capacity,0)</f>
        <v/>
      </c>
      <c r="AJ7" s="35">
        <f>IFERROR(AJ6/param_PSHatchery_Capacity,0)</f>
        <v/>
      </c>
      <c r="AK7" s="35">
        <f>IFERROR(AK6/param_PSHatchery_Capacity,0)</f>
        <v/>
      </c>
      <c r="AL7" s="35">
        <f>IFERROR(AL6/param_PSHatchery_Capacity,0)</f>
        <v/>
      </c>
      <c r="AM7" s="35">
        <f>IFERROR(AM6/param_PSHatchery_Capacity,0)</f>
        <v/>
      </c>
      <c r="AN7" s="35">
        <f>IFERROR(AN6/param_PSHatchery_Capacity,0)</f>
        <v/>
      </c>
      <c r="AO7" s="35">
        <f>IFERROR(AO6/param_PSHatchery_Capacity,0)</f>
        <v/>
      </c>
      <c r="AP7" s="35">
        <f>IFERROR(AP6/param_PSHatchery_Capacity,0)</f>
        <v/>
      </c>
      <c r="AQ7" s="35">
        <f>IFERROR(AQ6/param_PSHatchery_Capacity,0)</f>
        <v/>
      </c>
      <c r="AR7" s="35">
        <f>IFERROR(AR6/param_PSHatchery_Capacity,0)</f>
        <v/>
      </c>
      <c r="AS7" s="35">
        <f>IFERROR(AS6/param_PSHatchery_Capacity,0)</f>
        <v/>
      </c>
      <c r="AT7" s="35">
        <f>IFERROR(AT6/param_PSHatchery_Capacity,0)</f>
        <v/>
      </c>
      <c r="AU7" s="35">
        <f>IFERROR(AU6/param_PSHatchery_Capacity,0)</f>
        <v/>
      </c>
      <c r="AV7" s="35">
        <f>IFERROR(AV6/param_PSHatchery_Capacity,0)</f>
        <v/>
      </c>
      <c r="AW7" s="35">
        <f>IFERROR(AW6/param_PSHatchery_Capacity,0)</f>
        <v/>
      </c>
      <c r="AX7" s="35">
        <f>IFERROR(AX6/param_PSHatchery_Capacity,0)</f>
        <v/>
      </c>
      <c r="AY7" s="35">
        <f>IFERROR(AY6/param_PSHatchery_Capacity,0)</f>
        <v/>
      </c>
      <c r="AZ7" s="35">
        <f>IFERROR(AZ6/param_PSHatchery_Capacity,0)</f>
        <v/>
      </c>
      <c r="BA7" s="35">
        <f>IFERROR(BA6/param_PSHatchery_Capacity,0)</f>
        <v/>
      </c>
      <c r="BB7" s="35">
        <f>IFERROR(BB6/param_PSHatchery_Capacity,0)</f>
        <v/>
      </c>
      <c r="BC7" s="35">
        <f>IFERROR(BC6/param_PSHatchery_Capacity,0)</f>
        <v/>
      </c>
      <c r="BD7" s="35">
        <f>IFERROR(BD6/param_PSHatchery_Capacity,0)</f>
        <v/>
      </c>
      <c r="BE7" s="35">
        <f>IFERROR(BE6/param_PSHatchery_Capacity,0)</f>
        <v/>
      </c>
      <c r="BF7" s="35">
        <f>IFERROR(BF6/param_PSHatchery_Capacity,0)</f>
        <v/>
      </c>
      <c r="BG7" s="35">
        <f>IFERROR(BG6/param_PSHatchery_Capacity,0)</f>
        <v/>
      </c>
      <c r="BH7" s="35">
        <f>IFERROR(BH6/param_PSHatchery_Capacity,0)</f>
        <v/>
      </c>
    </row>
    <row r="8" ht="16" customHeight="1">
      <c r="A8" s="69" t="inlineStr">
        <is>
          <t>↓  21-day incubation  ↓</t>
        </is>
      </c>
      <c r="B8" s="37" t="inlineStr">
        <is>
          <t>(Broiler DOC hatch date = Setting date + 21 days = +3 weeks)</t>
        </is>
      </c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8" t="n"/>
      <c r="AW8" s="38" t="n"/>
      <c r="AX8" s="38" t="n"/>
      <c r="AY8" s="38" t="n"/>
      <c r="AZ8" s="38" t="n"/>
      <c r="BA8" s="38" t="n"/>
      <c r="BB8" s="38" t="n"/>
      <c r="BC8" s="38" t="n"/>
      <c r="BD8" s="38" t="n"/>
      <c r="BE8" s="38" t="n"/>
      <c r="BF8" s="38" t="n"/>
      <c r="BG8" s="38" t="n"/>
      <c r="BH8" s="38" t="n"/>
    </row>
    <row r="9" ht="16" customHeight="1">
      <c r="A9" s="63" t="inlineStr">
        <is>
          <t>Broiler DOC — Ross-308</t>
        </is>
      </c>
      <c r="B9" s="73">
        <f> Eggs Set [3 wk ago] × param_PS_RossHatchRate  →  FEEDS TAB 6</f>
        <v/>
      </c>
      <c r="I9" s="74">
        <f>0</f>
        <v/>
      </c>
      <c r="J9" s="74">
        <f>0</f>
        <v/>
      </c>
      <c r="K9" s="74">
        <f>0</f>
        <v/>
      </c>
      <c r="L9" s="74">
        <f>IFERROR(ROUND(I6*param_PS_RossHatchRate,0),0)</f>
        <v/>
      </c>
      <c r="M9" s="74">
        <f>IFERROR(ROUND(J6*param_PS_RossHatchRate,0),0)</f>
        <v/>
      </c>
      <c r="N9" s="74">
        <f>IFERROR(ROUND(K6*param_PS_RossHatchRate,0),0)</f>
        <v/>
      </c>
      <c r="O9" s="74">
        <f>IFERROR(ROUND(L6*param_PS_RossHatchRate,0),0)</f>
        <v/>
      </c>
      <c r="P9" s="74">
        <f>IFERROR(ROUND(M6*param_PS_RossHatchRate,0),0)</f>
        <v/>
      </c>
      <c r="Q9" s="74">
        <f>IFERROR(ROUND(N6*param_PS_RossHatchRate,0),0)</f>
        <v/>
      </c>
      <c r="R9" s="74">
        <f>IFERROR(ROUND(O6*param_PS_RossHatchRate,0),0)</f>
        <v/>
      </c>
      <c r="S9" s="74">
        <f>IFERROR(ROUND(P6*param_PS_RossHatchRate,0),0)</f>
        <v/>
      </c>
      <c r="T9" s="74">
        <f>IFERROR(ROUND(Q6*param_PS_RossHatchRate,0),0)</f>
        <v/>
      </c>
      <c r="U9" s="74">
        <f>IFERROR(ROUND(R6*param_PS_RossHatchRate,0),0)</f>
        <v/>
      </c>
      <c r="V9" s="74">
        <f>IFERROR(ROUND(S6*param_PS_RossHatchRate,0),0)</f>
        <v/>
      </c>
      <c r="W9" s="74">
        <f>IFERROR(ROUND(T6*param_PS_RossHatchRate,0),0)</f>
        <v/>
      </c>
      <c r="X9" s="74">
        <f>IFERROR(ROUND(U6*param_PS_RossHatchRate,0),0)</f>
        <v/>
      </c>
      <c r="Y9" s="74">
        <f>IFERROR(ROUND(V6*param_PS_RossHatchRate,0),0)</f>
        <v/>
      </c>
      <c r="Z9" s="74">
        <f>IFERROR(ROUND(W6*param_PS_RossHatchRate,0),0)</f>
        <v/>
      </c>
      <c r="AA9" s="74">
        <f>IFERROR(ROUND(X6*param_PS_RossHatchRate,0),0)</f>
        <v/>
      </c>
      <c r="AB9" s="74">
        <f>IFERROR(ROUND(Y6*param_PS_RossHatchRate,0),0)</f>
        <v/>
      </c>
      <c r="AC9" s="74">
        <f>IFERROR(ROUND(Z6*param_PS_RossHatchRate,0),0)</f>
        <v/>
      </c>
      <c r="AD9" s="74">
        <f>IFERROR(ROUND(AA6*param_PS_RossHatchRate,0),0)</f>
        <v/>
      </c>
      <c r="AE9" s="74">
        <f>IFERROR(ROUND(AB6*param_PS_RossHatchRate,0),0)</f>
        <v/>
      </c>
      <c r="AF9" s="74">
        <f>IFERROR(ROUND(AC6*param_PS_RossHatchRate,0),0)</f>
        <v/>
      </c>
      <c r="AG9" s="74">
        <f>IFERROR(ROUND(AD6*param_PS_RossHatchRate,0),0)</f>
        <v/>
      </c>
      <c r="AH9" s="74">
        <f>IFERROR(ROUND(AE6*param_PS_RossHatchRate,0),0)</f>
        <v/>
      </c>
      <c r="AI9" s="74">
        <f>IFERROR(ROUND(AF6*param_PS_RossHatchRate,0),0)</f>
        <v/>
      </c>
      <c r="AJ9" s="74">
        <f>IFERROR(ROUND(AG6*param_PS_RossHatchRate,0),0)</f>
        <v/>
      </c>
      <c r="AK9" s="74">
        <f>IFERROR(ROUND(AH6*param_PS_RossHatchRate,0),0)</f>
        <v/>
      </c>
      <c r="AL9" s="74">
        <f>IFERROR(ROUND(AI6*param_PS_RossHatchRate,0),0)</f>
        <v/>
      </c>
      <c r="AM9" s="74">
        <f>IFERROR(ROUND(AJ6*param_PS_RossHatchRate,0),0)</f>
        <v/>
      </c>
      <c r="AN9" s="74">
        <f>IFERROR(ROUND(AK6*param_PS_RossHatchRate,0),0)</f>
        <v/>
      </c>
      <c r="AO9" s="74">
        <f>IFERROR(ROUND(AL6*param_PS_RossHatchRate,0),0)</f>
        <v/>
      </c>
      <c r="AP9" s="74">
        <f>IFERROR(ROUND(AM6*param_PS_RossHatchRate,0),0)</f>
        <v/>
      </c>
      <c r="AQ9" s="74">
        <f>IFERROR(ROUND(AN6*param_PS_RossHatchRate,0),0)</f>
        <v/>
      </c>
      <c r="AR9" s="74">
        <f>IFERROR(ROUND(AO6*param_PS_RossHatchRate,0),0)</f>
        <v/>
      </c>
      <c r="AS9" s="74">
        <f>IFERROR(ROUND(AP6*param_PS_RossHatchRate,0),0)</f>
        <v/>
      </c>
      <c r="AT9" s="74">
        <f>IFERROR(ROUND(AQ6*param_PS_RossHatchRate,0),0)</f>
        <v/>
      </c>
      <c r="AU9" s="74">
        <f>IFERROR(ROUND(AR6*param_PS_RossHatchRate,0),0)</f>
        <v/>
      </c>
      <c r="AV9" s="74">
        <f>IFERROR(ROUND(AS6*param_PS_RossHatchRate,0),0)</f>
        <v/>
      </c>
      <c r="AW9" s="74">
        <f>IFERROR(ROUND(AT6*param_PS_RossHatchRate,0),0)</f>
        <v/>
      </c>
      <c r="AX9" s="74">
        <f>IFERROR(ROUND(AU6*param_PS_RossHatchRate,0),0)</f>
        <v/>
      </c>
      <c r="AY9" s="74">
        <f>IFERROR(ROUND(AV6*param_PS_RossHatchRate,0),0)</f>
        <v/>
      </c>
      <c r="AZ9" s="74">
        <f>IFERROR(ROUND(AW6*param_PS_RossHatchRate,0),0)</f>
        <v/>
      </c>
      <c r="BA9" s="74">
        <f>IFERROR(ROUND(AX6*param_PS_RossHatchRate,0),0)</f>
        <v/>
      </c>
      <c r="BB9" s="74">
        <f>IFERROR(ROUND(AY6*param_PS_RossHatchRate,0),0)</f>
        <v/>
      </c>
      <c r="BC9" s="74">
        <f>IFERROR(ROUND(AZ6*param_PS_RossHatchRate,0),0)</f>
        <v/>
      </c>
      <c r="BD9" s="74">
        <f>IFERROR(ROUND(BA6*param_PS_RossHatchRate,0),0)</f>
        <v/>
      </c>
      <c r="BE9" s="74">
        <f>IFERROR(ROUND(BB6*param_PS_RossHatchRate,0),0)</f>
        <v/>
      </c>
      <c r="BF9" s="74">
        <f>IFERROR(ROUND(BC6*param_PS_RossHatchRate,0),0)</f>
        <v/>
      </c>
      <c r="BG9" s="74">
        <f>IFERROR(ROUND(BD6*param_PS_RossHatchRate,0),0)</f>
        <v/>
      </c>
      <c r="BH9" s="74">
        <f>IFERROR(ROUND(BE6*param_PS_RossHatchRate,0),0)</f>
        <v/>
      </c>
    </row>
  </sheetData>
  <mergeCells count="3">
    <mergeCell ref="A1:BB1"/>
    <mergeCell ref="A2:BB2"/>
    <mergeCell ref="I3:BH3"/>
  </mergeCells>
  <conditionalFormatting sqref="I7:BH7">
    <cfRule type="cellIs" priority="1" operator="greaterThan" dxfId="1">
      <formula>0.9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45"/>
  <sheetViews>
    <sheetView workbookViewId="0">
      <pane xSplit="4" ySplit="37" topLeftCell="E3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3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</cols>
  <sheetData>
    <row r="1" ht="26" customHeight="1">
      <c r="A1" s="1" t="inlineStr">
        <is>
          <t>TAB 6 — PYRAMID SUMMARY &amp; BROILER DOC RECONCILIATION  |  LEFT: Cobb-500 Full Pyramid  |  RIGHT: Ross-308 PS-Only  |  BOTTOM: Weekly DOC Gap Analysis</t>
        </is>
      </c>
    </row>
    <row r="2" ht="13" customHeight="1">
      <c r="A2" s="3" t="inlineStr">
        <is>
          <t>[AR: TBD — ملخص الهرم وتوفيق دجاج اليوم / Pyramid Summary]</t>
        </is>
      </c>
    </row>
    <row r="3">
      <c r="A3" s="75" t="inlineStr">
        <is>
          <t>COBB-500  ●  Full 3-Level Pyramid</t>
        </is>
      </c>
      <c r="C3" s="76" t="inlineStr">
        <is>
          <t>ROSS-308  ●  PS-Only (External Supplier)</t>
        </is>
      </c>
    </row>
    <row r="7" ht="22" customHeight="1">
      <c r="A7" s="77" t="inlineStr">
        <is>
          <t>GP Lines: F-D | M-C | F-B | M-A
(live DOC placed on GP Rearing Farm)</t>
        </is>
      </c>
      <c r="C7" s="78" t="inlineStr">
        <is>
          <t>EXTERNAL SUPPLIER
Ross-308 PS DOC
[PO placed 52 weeks before arrival]</t>
        </is>
      </c>
    </row>
    <row r="8" ht="12" customHeight="1">
      <c r="A8" s="79" t="inlineStr">
        <is>
          <t>↓</t>
        </is>
      </c>
      <c r="C8" s="79" t="inlineStr">
        <is>
          <t>↓</t>
        </is>
      </c>
    </row>
    <row r="9" ht="22" customHeight="1">
      <c r="A9" s="80" t="inlineStr">
        <is>
          <t>GP REARING FARM
(grow-out → transfer to GP Laying Farm)</t>
        </is>
      </c>
      <c r="C9" s="81" t="inlineStr">
        <is>
          <t>⚠ PO Date auto-calculated
in Tab 3 (Col E)
Alert fires 8 weeks before deadline</t>
        </is>
      </c>
    </row>
    <row r="10" ht="12" customHeight="1">
      <c r="A10" s="79" t="inlineStr">
        <is>
          <t>↓</t>
        </is>
      </c>
      <c r="C10" s="79" t="inlineStr">
        <is>
          <t>↓</t>
        </is>
      </c>
    </row>
    <row r="11" ht="22" customHeight="1">
      <c r="A11" s="82" t="inlineStr">
        <is>
          <t>GP LAYING FARM
(hens lay GP Hatching Eggs)</t>
        </is>
      </c>
    </row>
    <row r="12" ht="12" customHeight="1">
      <c r="A12" s="79" t="inlineStr">
        <is>
          <t>↓</t>
        </is>
      </c>
    </row>
    <row r="13" ht="22" customHeight="1">
      <c r="A13" s="83" t="inlineStr">
        <is>
          <t>GP HATCHERY
⚠ EGGS SET HERE — not live birds
21-day incubation → hatch + sex</t>
        </is>
      </c>
    </row>
    <row r="14" ht="22" customHeight="1">
      <c r="A14" s="84" t="inlineStr">
        <is>
          <t>PS DOC (♀ + retained ♂)
→ PS Rearing Plant 1230</t>
        </is>
      </c>
      <c r="B14" s="85" t="inlineStr">
        <is>
          <t>Byproduct Broiler DOC
(mat. 100800160054)
→ Broiler Farms</t>
        </is>
      </c>
    </row>
    <row r="16" ht="12" customHeight="1">
      <c r="A16" s="79" t="inlineStr">
        <is>
          <t>↓</t>
        </is>
      </c>
    </row>
    <row r="17" ht="22" customHeight="1">
      <c r="A17" s="86" t="inlineStr">
        <is>
          <t>PS REARING FARM — Plant 1230
(Cobb PS DOC, 0→19 WK)</t>
        </is>
      </c>
      <c r="C17" s="87" t="inlineStr">
        <is>
          <t>PS REARING FARM — Plant 1230 (shared)
Ross PS DOC, 0→19 WK</t>
        </is>
      </c>
    </row>
    <row r="18" ht="12" customHeight="1">
      <c r="A18" s="79" t="inlineStr">
        <is>
          <t>↓</t>
        </is>
      </c>
      <c r="C18" s="79" t="inlineStr">
        <is>
          <t>↓</t>
        </is>
      </c>
    </row>
    <row r="19" ht="22" customHeight="1">
      <c r="A19" s="88" t="inlineStr">
        <is>
          <t>PS LAYING FARM — Plant 1220
(Cobb hens, 19→64 WK)</t>
        </is>
      </c>
      <c r="C19" s="89" t="inlineStr">
        <is>
          <t>PS LAYING FARM — Plant 1220 (shared)
Ross hens, 19→64 WK</t>
        </is>
      </c>
    </row>
    <row r="20" ht="12" customHeight="1">
      <c r="A20" s="79" t="inlineStr">
        <is>
          <t>↓</t>
        </is>
      </c>
      <c r="C20" s="79" t="inlineStr">
        <is>
          <t>↓</t>
        </is>
      </c>
    </row>
    <row r="21" ht="22" customHeight="1">
      <c r="A21" s="90" t="inlineStr">
        <is>
          <t>PS HATCHERY (Tab 4)
21-day incubation → Broiler DOC</t>
        </is>
      </c>
      <c r="C21" s="87" t="inlineStr">
        <is>
          <t>PS HATCHERY (Tab 5)
21-day incubation → Broiler DOC</t>
        </is>
      </c>
    </row>
    <row r="22" ht="12" customHeight="1">
      <c r="A22" s="79" t="inlineStr">
        <is>
          <t>↓</t>
        </is>
      </c>
      <c r="C22" s="79" t="inlineStr">
        <is>
          <t>↓</t>
        </is>
      </c>
    </row>
    <row r="23" ht="22" customHeight="1">
      <c r="A23" s="91" t="inlineStr">
        <is>
          <t>BROILER DOC — Cobb-500
(Tab 4 output)</t>
        </is>
      </c>
      <c r="C23" s="92" t="inlineStr">
        <is>
          <t>BROILER DOC — Ross-308
(Tab 5 output)</t>
        </is>
      </c>
    </row>
    <row r="24" ht="12" customHeight="1">
      <c r="A24" s="79" t="inlineStr">
        <is>
          <t>↓</t>
        </is>
      </c>
      <c r="C24" s="79" t="inlineStr">
        <is>
          <t>↓</t>
        </is>
      </c>
    </row>
    <row r="25" ht="22" customHeight="1">
      <c r="A25" s="93" t="inlineStr">
        <is>
          <t>BROILER FARMS → P1100 / P1200 / P1300</t>
        </is>
      </c>
      <c r="C25" s="93" t="inlineStr">
        <is>
          <t>BROILER FARMS → P1100 / P1200 / P1300</t>
        </is>
      </c>
    </row>
    <row r="27" ht="100" customHeight="1">
      <c r="A27" s="94" t="inlineStr">
        <is>
          <t>HOW TO USE THIS WORKBOOK
Step 1 — Open Params sheet (link below) and review all ⚠ Pending parameters with AWP Operations.
Step 2 — Tab 1: Enter GP flock placements (Placement Date + DOC Placed for each GP line/batch).
Step 3 — Tab 3 Left: Enter Cobb PS arrival dates and head counts (or link from Tab 2 PS DOC output).
Step 4 — Tab 3 Right: Enter Ross PS DOC arrival dates and head counts. PO Dates auto-calculate.
         ⚠ Act on any RED PO Alert cells in Tab 3 column F immediately.
Step 5 — Tab 6 (this sheet): Enter weekly Broiler DOC Target (row A below).
         The GAP row (row F) shows surplus (green) or shortage (red) automatically.
Calculated cells (grey fill) are locked. Input cells (yellow fill) require manual entry.</t>
        </is>
      </c>
    </row>
    <row r="28"/>
    <row r="29"/>
    <row r="30"/>
    <row r="31"/>
    <row r="32"/>
    <row r="33"/>
    <row r="34" ht="24" customHeight="1">
      <c r="A34" s="95">
        <f>HYPERLINK("#Params!A1","▶  Open Parameters Sheet  (Params)")</f>
        <v/>
      </c>
    </row>
    <row r="36" ht="5" customHeight="1">
      <c r="A36" s="20" t="n"/>
    </row>
    <row r="37" ht="20" customHeight="1">
      <c r="A37" s="96" t="inlineStr">
        <is>
          <t xml:space="preserve">  BROILER DOC RECONCILIATION — Weekly Supply vs. Target</t>
        </is>
      </c>
    </row>
    <row r="38" ht="22" customHeight="1">
      <c r="A38" s="4" t="inlineStr">
        <is>
          <t>Row</t>
        </is>
      </c>
      <c r="B38" s="4" t="inlineStr">
        <is>
          <t>Description</t>
        </is>
      </c>
      <c r="C38" s="4" t="inlineStr">
        <is>
          <t>Breed</t>
        </is>
      </c>
      <c r="D38" s="4" t="inlineStr">
        <is>
          <t>Source</t>
        </is>
      </c>
      <c r="E38" s="97" t="inlineStr">
        <is>
          <t>◀  WEEKLY BROILER DOC (head count)  ▶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7" t="n"/>
    </row>
    <row r="39" ht="14" customHeight="1">
      <c r="E39" s="8" t="inlineStr">
        <is>
          <t>Wk 1</t>
        </is>
      </c>
      <c r="F39" s="8" t="inlineStr">
        <is>
          <t>Wk 2</t>
        </is>
      </c>
      <c r="G39" s="8" t="inlineStr">
        <is>
          <t>Wk 3</t>
        </is>
      </c>
      <c r="H39" s="8" t="inlineStr">
        <is>
          <t>Wk 4</t>
        </is>
      </c>
      <c r="I39" s="8" t="inlineStr">
        <is>
          <t>Wk 5</t>
        </is>
      </c>
      <c r="J39" s="8" t="inlineStr">
        <is>
          <t>Wk 6</t>
        </is>
      </c>
      <c r="K39" s="8" t="inlineStr">
        <is>
          <t>Wk 7</t>
        </is>
      </c>
      <c r="L39" s="8" t="inlineStr">
        <is>
          <t>Wk 8</t>
        </is>
      </c>
      <c r="M39" s="8" t="inlineStr">
        <is>
          <t>Wk 9</t>
        </is>
      </c>
      <c r="N39" s="8" t="inlineStr">
        <is>
          <t>Wk 10</t>
        </is>
      </c>
      <c r="O39" s="8" t="inlineStr">
        <is>
          <t>Wk 11</t>
        </is>
      </c>
      <c r="P39" s="8" t="inlineStr">
        <is>
          <t>Wk 12</t>
        </is>
      </c>
      <c r="Q39" s="8" t="inlineStr">
        <is>
          <t>Wk 13</t>
        </is>
      </c>
      <c r="R39" s="8" t="inlineStr">
        <is>
          <t>Wk 14</t>
        </is>
      </c>
      <c r="S39" s="8" t="inlineStr">
        <is>
          <t>Wk 15</t>
        </is>
      </c>
      <c r="T39" s="8" t="inlineStr">
        <is>
          <t>Wk 16</t>
        </is>
      </c>
      <c r="U39" s="8" t="inlineStr">
        <is>
          <t>Wk 17</t>
        </is>
      </c>
      <c r="V39" s="8" t="inlineStr">
        <is>
          <t>Wk 18</t>
        </is>
      </c>
      <c r="W39" s="8" t="inlineStr">
        <is>
          <t>Wk 19</t>
        </is>
      </c>
      <c r="X39" s="8" t="inlineStr">
        <is>
          <t>Wk 20</t>
        </is>
      </c>
      <c r="Y39" s="8" t="inlineStr">
        <is>
          <t>Wk 21</t>
        </is>
      </c>
      <c r="Z39" s="8" t="inlineStr">
        <is>
          <t>Wk 22</t>
        </is>
      </c>
      <c r="AA39" s="8" t="inlineStr">
        <is>
          <t>Wk 23</t>
        </is>
      </c>
      <c r="AB39" s="8" t="inlineStr">
        <is>
          <t>Wk 24</t>
        </is>
      </c>
      <c r="AC39" s="8" t="inlineStr">
        <is>
          <t>Wk 25</t>
        </is>
      </c>
      <c r="AD39" s="8" t="inlineStr">
        <is>
          <t>Wk 26</t>
        </is>
      </c>
      <c r="AE39" s="8" t="inlineStr">
        <is>
          <t>Wk 27</t>
        </is>
      </c>
      <c r="AF39" s="8" t="inlineStr">
        <is>
          <t>Wk 28</t>
        </is>
      </c>
      <c r="AG39" s="8" t="inlineStr">
        <is>
          <t>Wk 29</t>
        </is>
      </c>
      <c r="AH39" s="8" t="inlineStr">
        <is>
          <t>Wk 30</t>
        </is>
      </c>
      <c r="AI39" s="8" t="inlineStr">
        <is>
          <t>Wk 31</t>
        </is>
      </c>
      <c r="AJ39" s="8" t="inlineStr">
        <is>
          <t>Wk 32</t>
        </is>
      </c>
      <c r="AK39" s="8" t="inlineStr">
        <is>
          <t>Wk 33</t>
        </is>
      </c>
      <c r="AL39" s="8" t="inlineStr">
        <is>
          <t>Wk 34</t>
        </is>
      </c>
      <c r="AM39" s="8" t="inlineStr">
        <is>
          <t>Wk 35</t>
        </is>
      </c>
      <c r="AN39" s="8" t="inlineStr">
        <is>
          <t>Wk 36</t>
        </is>
      </c>
      <c r="AO39" s="8" t="inlineStr">
        <is>
          <t>Wk 37</t>
        </is>
      </c>
      <c r="AP39" s="8" t="inlineStr">
        <is>
          <t>Wk 38</t>
        </is>
      </c>
      <c r="AQ39" s="8" t="inlineStr">
        <is>
          <t>Wk 39</t>
        </is>
      </c>
      <c r="AR39" s="8" t="inlineStr">
        <is>
          <t>Wk 40</t>
        </is>
      </c>
      <c r="AS39" s="8" t="inlineStr">
        <is>
          <t>Wk 41</t>
        </is>
      </c>
      <c r="AT39" s="8" t="inlineStr">
        <is>
          <t>Wk 42</t>
        </is>
      </c>
      <c r="AU39" s="8" t="inlineStr">
        <is>
          <t>Wk 43</t>
        </is>
      </c>
      <c r="AV39" s="8" t="inlineStr">
        <is>
          <t>Wk 44</t>
        </is>
      </c>
      <c r="AW39" s="8" t="inlineStr">
        <is>
          <t>Wk 45</t>
        </is>
      </c>
      <c r="AX39" s="8" t="inlineStr">
        <is>
          <t>Wk 46</t>
        </is>
      </c>
      <c r="AY39" s="8" t="inlineStr">
        <is>
          <t>Wk 47</t>
        </is>
      </c>
      <c r="AZ39" s="8" t="inlineStr">
        <is>
          <t>Wk 48</t>
        </is>
      </c>
      <c r="BA39" s="8" t="inlineStr">
        <is>
          <t>Wk 49</t>
        </is>
      </c>
      <c r="BB39" s="8" t="inlineStr">
        <is>
          <t>Wk 50</t>
        </is>
      </c>
      <c r="BC39" s="8" t="inlineStr">
        <is>
          <t>Wk 51</t>
        </is>
      </c>
      <c r="BD39" s="8" t="inlineStr">
        <is>
          <t>Wk 52</t>
        </is>
      </c>
    </row>
    <row r="40" ht="18" customHeight="1">
      <c r="A40" s="98" t="inlineStr">
        <is>
          <t>A</t>
        </is>
      </c>
      <c r="B40" s="33" t="inlineStr">
        <is>
          <t>Broiler DOC Target</t>
        </is>
      </c>
      <c r="C40" s="99" t="inlineStr">
        <is>
          <t>Combined</t>
        </is>
      </c>
      <c r="D40" s="100" t="inlineStr">
        <is>
          <t>Manual input — enter weekly target</t>
        </is>
      </c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  <c r="AO40" s="26" t="n"/>
      <c r="AP40" s="26" t="n"/>
      <c r="AQ40" s="26" t="n"/>
      <c r="AR40" s="26" t="n"/>
      <c r="AS40" s="26" t="n"/>
      <c r="AT40" s="26" t="n"/>
      <c r="AU40" s="26" t="n"/>
      <c r="AV40" s="26" t="n"/>
      <c r="AW40" s="26" t="n"/>
      <c r="AX40" s="26" t="n"/>
      <c r="AY40" s="26" t="n"/>
      <c r="AZ40" s="26" t="n"/>
      <c r="BA40" s="26" t="n"/>
      <c r="BB40" s="26" t="n"/>
      <c r="BC40" s="26" t="n"/>
      <c r="BD40" s="26" t="n"/>
    </row>
    <row r="41" ht="18" customHeight="1">
      <c r="A41" s="98" t="inlineStr">
        <is>
          <t>B</t>
        </is>
      </c>
      <c r="B41" s="39" t="inlineStr">
        <is>
          <t>Broiler DOC — Cobb PS Hatchery</t>
        </is>
      </c>
      <c r="C41" s="101" t="inlineStr">
        <is>
          <t>Cobb-500</t>
        </is>
      </c>
      <c r="D41" s="102" t="inlineStr">
        <is>
          <t>Tab 4 output (Cobb_BroilerDOC)</t>
        </is>
      </c>
      <c r="E41" s="41">
        <f>IFERROR(INDEX(Cobb_BroilerDOC,1),0)</f>
        <v/>
      </c>
      <c r="F41" s="41">
        <f>IFERROR(INDEX(Cobb_BroilerDOC,2),0)</f>
        <v/>
      </c>
      <c r="G41" s="41">
        <f>IFERROR(INDEX(Cobb_BroilerDOC,3),0)</f>
        <v/>
      </c>
      <c r="H41" s="41">
        <f>IFERROR(INDEX(Cobb_BroilerDOC,4),0)</f>
        <v/>
      </c>
      <c r="I41" s="41">
        <f>IFERROR(INDEX(Cobb_BroilerDOC,5),0)</f>
        <v/>
      </c>
      <c r="J41" s="41">
        <f>IFERROR(INDEX(Cobb_BroilerDOC,6),0)</f>
        <v/>
      </c>
      <c r="K41" s="41">
        <f>IFERROR(INDEX(Cobb_BroilerDOC,7),0)</f>
        <v/>
      </c>
      <c r="L41" s="41">
        <f>IFERROR(INDEX(Cobb_BroilerDOC,8),0)</f>
        <v/>
      </c>
      <c r="M41" s="41">
        <f>IFERROR(INDEX(Cobb_BroilerDOC,9),0)</f>
        <v/>
      </c>
      <c r="N41" s="41">
        <f>IFERROR(INDEX(Cobb_BroilerDOC,10),0)</f>
        <v/>
      </c>
      <c r="O41" s="41">
        <f>IFERROR(INDEX(Cobb_BroilerDOC,11),0)</f>
        <v/>
      </c>
      <c r="P41" s="41">
        <f>IFERROR(INDEX(Cobb_BroilerDOC,12),0)</f>
        <v/>
      </c>
      <c r="Q41" s="41">
        <f>IFERROR(INDEX(Cobb_BroilerDOC,13),0)</f>
        <v/>
      </c>
      <c r="R41" s="41">
        <f>IFERROR(INDEX(Cobb_BroilerDOC,14),0)</f>
        <v/>
      </c>
      <c r="S41" s="41">
        <f>IFERROR(INDEX(Cobb_BroilerDOC,15),0)</f>
        <v/>
      </c>
      <c r="T41" s="41">
        <f>IFERROR(INDEX(Cobb_BroilerDOC,16),0)</f>
        <v/>
      </c>
      <c r="U41" s="41">
        <f>IFERROR(INDEX(Cobb_BroilerDOC,17),0)</f>
        <v/>
      </c>
      <c r="V41" s="41">
        <f>IFERROR(INDEX(Cobb_BroilerDOC,18),0)</f>
        <v/>
      </c>
      <c r="W41" s="41">
        <f>IFERROR(INDEX(Cobb_BroilerDOC,19),0)</f>
        <v/>
      </c>
      <c r="X41" s="41">
        <f>IFERROR(INDEX(Cobb_BroilerDOC,20),0)</f>
        <v/>
      </c>
      <c r="Y41" s="41">
        <f>IFERROR(INDEX(Cobb_BroilerDOC,21),0)</f>
        <v/>
      </c>
      <c r="Z41" s="41">
        <f>IFERROR(INDEX(Cobb_BroilerDOC,22),0)</f>
        <v/>
      </c>
      <c r="AA41" s="41">
        <f>IFERROR(INDEX(Cobb_BroilerDOC,23),0)</f>
        <v/>
      </c>
      <c r="AB41" s="41">
        <f>IFERROR(INDEX(Cobb_BroilerDOC,24),0)</f>
        <v/>
      </c>
      <c r="AC41" s="41">
        <f>IFERROR(INDEX(Cobb_BroilerDOC,25),0)</f>
        <v/>
      </c>
      <c r="AD41" s="41">
        <f>IFERROR(INDEX(Cobb_BroilerDOC,26),0)</f>
        <v/>
      </c>
      <c r="AE41" s="41">
        <f>IFERROR(INDEX(Cobb_BroilerDOC,27),0)</f>
        <v/>
      </c>
      <c r="AF41" s="41">
        <f>IFERROR(INDEX(Cobb_BroilerDOC,28),0)</f>
        <v/>
      </c>
      <c r="AG41" s="41">
        <f>IFERROR(INDEX(Cobb_BroilerDOC,29),0)</f>
        <v/>
      </c>
      <c r="AH41" s="41">
        <f>IFERROR(INDEX(Cobb_BroilerDOC,30),0)</f>
        <v/>
      </c>
      <c r="AI41" s="41">
        <f>IFERROR(INDEX(Cobb_BroilerDOC,31),0)</f>
        <v/>
      </c>
      <c r="AJ41" s="41">
        <f>IFERROR(INDEX(Cobb_BroilerDOC,32),0)</f>
        <v/>
      </c>
      <c r="AK41" s="41">
        <f>IFERROR(INDEX(Cobb_BroilerDOC,33),0)</f>
        <v/>
      </c>
      <c r="AL41" s="41">
        <f>IFERROR(INDEX(Cobb_BroilerDOC,34),0)</f>
        <v/>
      </c>
      <c r="AM41" s="41">
        <f>IFERROR(INDEX(Cobb_BroilerDOC,35),0)</f>
        <v/>
      </c>
      <c r="AN41" s="41">
        <f>IFERROR(INDEX(Cobb_BroilerDOC,36),0)</f>
        <v/>
      </c>
      <c r="AO41" s="41">
        <f>IFERROR(INDEX(Cobb_BroilerDOC,37),0)</f>
        <v/>
      </c>
      <c r="AP41" s="41">
        <f>IFERROR(INDEX(Cobb_BroilerDOC,38),0)</f>
        <v/>
      </c>
      <c r="AQ41" s="41">
        <f>IFERROR(INDEX(Cobb_BroilerDOC,39),0)</f>
        <v/>
      </c>
      <c r="AR41" s="41">
        <f>IFERROR(INDEX(Cobb_BroilerDOC,40),0)</f>
        <v/>
      </c>
      <c r="AS41" s="41">
        <f>IFERROR(INDEX(Cobb_BroilerDOC,41),0)</f>
        <v/>
      </c>
      <c r="AT41" s="41">
        <f>IFERROR(INDEX(Cobb_BroilerDOC,42),0)</f>
        <v/>
      </c>
      <c r="AU41" s="41">
        <f>IFERROR(INDEX(Cobb_BroilerDOC,43),0)</f>
        <v/>
      </c>
      <c r="AV41" s="41">
        <f>IFERROR(INDEX(Cobb_BroilerDOC,44),0)</f>
        <v/>
      </c>
      <c r="AW41" s="41">
        <f>IFERROR(INDEX(Cobb_BroilerDOC,45),0)</f>
        <v/>
      </c>
      <c r="AX41" s="41">
        <f>IFERROR(INDEX(Cobb_BroilerDOC,46),0)</f>
        <v/>
      </c>
      <c r="AY41" s="41">
        <f>IFERROR(INDEX(Cobb_BroilerDOC,47),0)</f>
        <v/>
      </c>
      <c r="AZ41" s="41">
        <f>IFERROR(INDEX(Cobb_BroilerDOC,48),0)</f>
        <v/>
      </c>
      <c r="BA41" s="41">
        <f>IFERROR(INDEX(Cobb_BroilerDOC,49),0)</f>
        <v/>
      </c>
      <c r="BB41" s="41">
        <f>IFERROR(INDEX(Cobb_BroilerDOC,50),0)</f>
        <v/>
      </c>
      <c r="BC41" s="41">
        <f>IFERROR(INDEX(Cobb_BroilerDOC,51),0)</f>
        <v/>
      </c>
      <c r="BD41" s="41">
        <f>IFERROR(INDEX(Cobb_BroilerDOC,52),0)</f>
        <v/>
      </c>
    </row>
    <row r="42" ht="18" customHeight="1">
      <c r="A42" s="98" t="inlineStr">
        <is>
          <t>C</t>
        </is>
      </c>
      <c r="B42" s="42" t="inlineStr">
        <is>
          <t>Broiler DOC — Ross PS Hatchery</t>
        </is>
      </c>
      <c r="C42" s="103" t="inlineStr">
        <is>
          <t>Ross-308</t>
        </is>
      </c>
      <c r="D42" s="104" t="inlineStr">
        <is>
          <t>Tab 5 output (Ross_BroilerDOC)</t>
        </is>
      </c>
      <c r="E42" s="44">
        <f>IFERROR(INDEX(Ross_BroilerDOC,1),0)</f>
        <v/>
      </c>
      <c r="F42" s="44">
        <f>IFERROR(INDEX(Ross_BroilerDOC,2),0)</f>
        <v/>
      </c>
      <c r="G42" s="44">
        <f>IFERROR(INDEX(Ross_BroilerDOC,3),0)</f>
        <v/>
      </c>
      <c r="H42" s="44">
        <f>IFERROR(INDEX(Ross_BroilerDOC,4),0)</f>
        <v/>
      </c>
      <c r="I42" s="44">
        <f>IFERROR(INDEX(Ross_BroilerDOC,5),0)</f>
        <v/>
      </c>
      <c r="J42" s="44">
        <f>IFERROR(INDEX(Ross_BroilerDOC,6),0)</f>
        <v/>
      </c>
      <c r="K42" s="44">
        <f>IFERROR(INDEX(Ross_BroilerDOC,7),0)</f>
        <v/>
      </c>
      <c r="L42" s="44">
        <f>IFERROR(INDEX(Ross_BroilerDOC,8),0)</f>
        <v/>
      </c>
      <c r="M42" s="44">
        <f>IFERROR(INDEX(Ross_BroilerDOC,9),0)</f>
        <v/>
      </c>
      <c r="N42" s="44">
        <f>IFERROR(INDEX(Ross_BroilerDOC,10),0)</f>
        <v/>
      </c>
      <c r="O42" s="44">
        <f>IFERROR(INDEX(Ross_BroilerDOC,11),0)</f>
        <v/>
      </c>
      <c r="P42" s="44">
        <f>IFERROR(INDEX(Ross_BroilerDOC,12),0)</f>
        <v/>
      </c>
      <c r="Q42" s="44">
        <f>IFERROR(INDEX(Ross_BroilerDOC,13),0)</f>
        <v/>
      </c>
      <c r="R42" s="44">
        <f>IFERROR(INDEX(Ross_BroilerDOC,14),0)</f>
        <v/>
      </c>
      <c r="S42" s="44">
        <f>IFERROR(INDEX(Ross_BroilerDOC,15),0)</f>
        <v/>
      </c>
      <c r="T42" s="44">
        <f>IFERROR(INDEX(Ross_BroilerDOC,16),0)</f>
        <v/>
      </c>
      <c r="U42" s="44">
        <f>IFERROR(INDEX(Ross_BroilerDOC,17),0)</f>
        <v/>
      </c>
      <c r="V42" s="44">
        <f>IFERROR(INDEX(Ross_BroilerDOC,18),0)</f>
        <v/>
      </c>
      <c r="W42" s="44">
        <f>IFERROR(INDEX(Ross_BroilerDOC,19),0)</f>
        <v/>
      </c>
      <c r="X42" s="44">
        <f>IFERROR(INDEX(Ross_BroilerDOC,20),0)</f>
        <v/>
      </c>
      <c r="Y42" s="44">
        <f>IFERROR(INDEX(Ross_BroilerDOC,21),0)</f>
        <v/>
      </c>
      <c r="Z42" s="44">
        <f>IFERROR(INDEX(Ross_BroilerDOC,22),0)</f>
        <v/>
      </c>
      <c r="AA42" s="44">
        <f>IFERROR(INDEX(Ross_BroilerDOC,23),0)</f>
        <v/>
      </c>
      <c r="AB42" s="44">
        <f>IFERROR(INDEX(Ross_BroilerDOC,24),0)</f>
        <v/>
      </c>
      <c r="AC42" s="44">
        <f>IFERROR(INDEX(Ross_BroilerDOC,25),0)</f>
        <v/>
      </c>
      <c r="AD42" s="44">
        <f>IFERROR(INDEX(Ross_BroilerDOC,26),0)</f>
        <v/>
      </c>
      <c r="AE42" s="44">
        <f>IFERROR(INDEX(Ross_BroilerDOC,27),0)</f>
        <v/>
      </c>
      <c r="AF42" s="44">
        <f>IFERROR(INDEX(Ross_BroilerDOC,28),0)</f>
        <v/>
      </c>
      <c r="AG42" s="44">
        <f>IFERROR(INDEX(Ross_BroilerDOC,29),0)</f>
        <v/>
      </c>
      <c r="AH42" s="44">
        <f>IFERROR(INDEX(Ross_BroilerDOC,30),0)</f>
        <v/>
      </c>
      <c r="AI42" s="44">
        <f>IFERROR(INDEX(Ross_BroilerDOC,31),0)</f>
        <v/>
      </c>
      <c r="AJ42" s="44">
        <f>IFERROR(INDEX(Ross_BroilerDOC,32),0)</f>
        <v/>
      </c>
      <c r="AK42" s="44">
        <f>IFERROR(INDEX(Ross_BroilerDOC,33),0)</f>
        <v/>
      </c>
      <c r="AL42" s="44">
        <f>IFERROR(INDEX(Ross_BroilerDOC,34),0)</f>
        <v/>
      </c>
      <c r="AM42" s="44">
        <f>IFERROR(INDEX(Ross_BroilerDOC,35),0)</f>
        <v/>
      </c>
      <c r="AN42" s="44">
        <f>IFERROR(INDEX(Ross_BroilerDOC,36),0)</f>
        <v/>
      </c>
      <c r="AO42" s="44">
        <f>IFERROR(INDEX(Ross_BroilerDOC,37),0)</f>
        <v/>
      </c>
      <c r="AP42" s="44">
        <f>IFERROR(INDEX(Ross_BroilerDOC,38),0)</f>
        <v/>
      </c>
      <c r="AQ42" s="44">
        <f>IFERROR(INDEX(Ross_BroilerDOC,39),0)</f>
        <v/>
      </c>
      <c r="AR42" s="44">
        <f>IFERROR(INDEX(Ross_BroilerDOC,40),0)</f>
        <v/>
      </c>
      <c r="AS42" s="44">
        <f>IFERROR(INDEX(Ross_BroilerDOC,41),0)</f>
        <v/>
      </c>
      <c r="AT42" s="44">
        <f>IFERROR(INDEX(Ross_BroilerDOC,42),0)</f>
        <v/>
      </c>
      <c r="AU42" s="44">
        <f>IFERROR(INDEX(Ross_BroilerDOC,43),0)</f>
        <v/>
      </c>
      <c r="AV42" s="44">
        <f>IFERROR(INDEX(Ross_BroilerDOC,44),0)</f>
        <v/>
      </c>
      <c r="AW42" s="44">
        <f>IFERROR(INDEX(Ross_BroilerDOC,45),0)</f>
        <v/>
      </c>
      <c r="AX42" s="44">
        <f>IFERROR(INDEX(Ross_BroilerDOC,46),0)</f>
        <v/>
      </c>
      <c r="AY42" s="44">
        <f>IFERROR(INDEX(Ross_BroilerDOC,47),0)</f>
        <v/>
      </c>
      <c r="AZ42" s="44">
        <f>IFERROR(INDEX(Ross_BroilerDOC,48),0)</f>
        <v/>
      </c>
      <c r="BA42" s="44">
        <f>IFERROR(INDEX(Ross_BroilerDOC,49),0)</f>
        <v/>
      </c>
      <c r="BB42" s="44">
        <f>IFERROR(INDEX(Ross_BroilerDOC,50),0)</f>
        <v/>
      </c>
      <c r="BC42" s="44">
        <f>IFERROR(INDEX(Ross_BroilerDOC,51),0)</f>
        <v/>
      </c>
      <c r="BD42" s="44">
        <f>IFERROR(INDEX(Ross_BroilerDOC,52),0)</f>
        <v/>
      </c>
    </row>
    <row r="43" ht="18" customHeight="1">
      <c r="A43" s="98" t="inlineStr">
        <is>
          <t>D</t>
        </is>
      </c>
      <c r="B43" s="45" t="inlineStr">
        <is>
          <t>Byproduct Broiler DOC (GP surplus ♂)</t>
        </is>
      </c>
      <c r="C43" s="105" t="inlineStr">
        <is>
          <t>Cobb-500</t>
        </is>
      </c>
      <c r="D43" s="106" t="inlineStr">
        <is>
          <t>Tab 2 (mat. 100800160054)</t>
        </is>
      </c>
      <c r="E43" s="47">
        <f>IFERROR(INDEX(GP_ByproductDOC,1),0)</f>
        <v/>
      </c>
      <c r="F43" s="47">
        <f>IFERROR(INDEX(GP_ByproductDOC,2),0)</f>
        <v/>
      </c>
      <c r="G43" s="47">
        <f>IFERROR(INDEX(GP_ByproductDOC,3),0)</f>
        <v/>
      </c>
      <c r="H43" s="47">
        <f>IFERROR(INDEX(GP_ByproductDOC,4),0)</f>
        <v/>
      </c>
      <c r="I43" s="47">
        <f>IFERROR(INDEX(GP_ByproductDOC,5),0)</f>
        <v/>
      </c>
      <c r="J43" s="47">
        <f>IFERROR(INDEX(GP_ByproductDOC,6),0)</f>
        <v/>
      </c>
      <c r="K43" s="47">
        <f>IFERROR(INDEX(GP_ByproductDOC,7),0)</f>
        <v/>
      </c>
      <c r="L43" s="47">
        <f>IFERROR(INDEX(GP_ByproductDOC,8),0)</f>
        <v/>
      </c>
      <c r="M43" s="47">
        <f>IFERROR(INDEX(GP_ByproductDOC,9),0)</f>
        <v/>
      </c>
      <c r="N43" s="47">
        <f>IFERROR(INDEX(GP_ByproductDOC,10),0)</f>
        <v/>
      </c>
      <c r="O43" s="47">
        <f>IFERROR(INDEX(GP_ByproductDOC,11),0)</f>
        <v/>
      </c>
      <c r="P43" s="47">
        <f>IFERROR(INDEX(GP_ByproductDOC,12),0)</f>
        <v/>
      </c>
      <c r="Q43" s="47">
        <f>IFERROR(INDEX(GP_ByproductDOC,13),0)</f>
        <v/>
      </c>
      <c r="R43" s="47">
        <f>IFERROR(INDEX(GP_ByproductDOC,14),0)</f>
        <v/>
      </c>
      <c r="S43" s="47">
        <f>IFERROR(INDEX(GP_ByproductDOC,15),0)</f>
        <v/>
      </c>
      <c r="T43" s="47">
        <f>IFERROR(INDEX(GP_ByproductDOC,16),0)</f>
        <v/>
      </c>
      <c r="U43" s="47">
        <f>IFERROR(INDEX(GP_ByproductDOC,17),0)</f>
        <v/>
      </c>
      <c r="V43" s="47">
        <f>IFERROR(INDEX(GP_ByproductDOC,18),0)</f>
        <v/>
      </c>
      <c r="W43" s="47">
        <f>IFERROR(INDEX(GP_ByproductDOC,19),0)</f>
        <v/>
      </c>
      <c r="X43" s="47">
        <f>IFERROR(INDEX(GP_ByproductDOC,20),0)</f>
        <v/>
      </c>
      <c r="Y43" s="47">
        <f>IFERROR(INDEX(GP_ByproductDOC,21),0)</f>
        <v/>
      </c>
      <c r="Z43" s="47">
        <f>IFERROR(INDEX(GP_ByproductDOC,22),0)</f>
        <v/>
      </c>
      <c r="AA43" s="47">
        <f>IFERROR(INDEX(GP_ByproductDOC,23),0)</f>
        <v/>
      </c>
      <c r="AB43" s="47">
        <f>IFERROR(INDEX(GP_ByproductDOC,24),0)</f>
        <v/>
      </c>
      <c r="AC43" s="47">
        <f>IFERROR(INDEX(GP_ByproductDOC,25),0)</f>
        <v/>
      </c>
      <c r="AD43" s="47">
        <f>IFERROR(INDEX(GP_ByproductDOC,26),0)</f>
        <v/>
      </c>
      <c r="AE43" s="47">
        <f>IFERROR(INDEX(GP_ByproductDOC,27),0)</f>
        <v/>
      </c>
      <c r="AF43" s="47">
        <f>IFERROR(INDEX(GP_ByproductDOC,28),0)</f>
        <v/>
      </c>
      <c r="AG43" s="47">
        <f>IFERROR(INDEX(GP_ByproductDOC,29),0)</f>
        <v/>
      </c>
      <c r="AH43" s="47">
        <f>IFERROR(INDEX(GP_ByproductDOC,30),0)</f>
        <v/>
      </c>
      <c r="AI43" s="47">
        <f>IFERROR(INDEX(GP_ByproductDOC,31),0)</f>
        <v/>
      </c>
      <c r="AJ43" s="47">
        <f>IFERROR(INDEX(GP_ByproductDOC,32),0)</f>
        <v/>
      </c>
      <c r="AK43" s="47">
        <f>IFERROR(INDEX(GP_ByproductDOC,33),0)</f>
        <v/>
      </c>
      <c r="AL43" s="47">
        <f>IFERROR(INDEX(GP_ByproductDOC,34),0)</f>
        <v/>
      </c>
      <c r="AM43" s="47">
        <f>IFERROR(INDEX(GP_ByproductDOC,35),0)</f>
        <v/>
      </c>
      <c r="AN43" s="47">
        <f>IFERROR(INDEX(GP_ByproductDOC,36),0)</f>
        <v/>
      </c>
      <c r="AO43" s="47">
        <f>IFERROR(INDEX(GP_ByproductDOC,37),0)</f>
        <v/>
      </c>
      <c r="AP43" s="47">
        <f>IFERROR(INDEX(GP_ByproductDOC,38),0)</f>
        <v/>
      </c>
      <c r="AQ43" s="47">
        <f>IFERROR(INDEX(GP_ByproductDOC,39),0)</f>
        <v/>
      </c>
      <c r="AR43" s="47">
        <f>IFERROR(INDEX(GP_ByproductDOC,40),0)</f>
        <v/>
      </c>
      <c r="AS43" s="47">
        <f>IFERROR(INDEX(GP_ByproductDOC,41),0)</f>
        <v/>
      </c>
      <c r="AT43" s="47">
        <f>IFERROR(INDEX(GP_ByproductDOC,42),0)</f>
        <v/>
      </c>
      <c r="AU43" s="47">
        <f>IFERROR(INDEX(GP_ByproductDOC,43),0)</f>
        <v/>
      </c>
      <c r="AV43" s="47">
        <f>IFERROR(INDEX(GP_ByproductDOC,44),0)</f>
        <v/>
      </c>
      <c r="AW43" s="47">
        <f>IFERROR(INDEX(GP_ByproductDOC,45),0)</f>
        <v/>
      </c>
      <c r="AX43" s="47">
        <f>IFERROR(INDEX(GP_ByproductDOC,46),0)</f>
        <v/>
      </c>
      <c r="AY43" s="47">
        <f>IFERROR(INDEX(GP_ByproductDOC,47),0)</f>
        <v/>
      </c>
      <c r="AZ43" s="47">
        <f>IFERROR(INDEX(GP_ByproductDOC,48),0)</f>
        <v/>
      </c>
      <c r="BA43" s="47">
        <f>IFERROR(INDEX(GP_ByproductDOC,49),0)</f>
        <v/>
      </c>
      <c r="BB43" s="47">
        <f>IFERROR(INDEX(GP_ByproductDOC,50),0)</f>
        <v/>
      </c>
      <c r="BC43" s="47">
        <f>IFERROR(INDEX(GP_ByproductDOC,51),0)</f>
        <v/>
      </c>
      <c r="BD43" s="47">
        <f>IFERROR(INDEX(GP_ByproductDOC,52),0)</f>
        <v/>
      </c>
    </row>
    <row r="44" ht="18" customHeight="1">
      <c r="A44" s="98" t="inlineStr">
        <is>
          <t>E</t>
        </is>
      </c>
      <c r="B44" s="107" t="inlineStr">
        <is>
          <t>TOTAL SUPPLY  (B + C + D)</t>
        </is>
      </c>
      <c r="C44" s="108" t="inlineStr">
        <is>
          <t>All</t>
        </is>
      </c>
      <c r="D44" s="109">
        <f> Rows B + C + D</f>
        <v/>
      </c>
      <c r="E44" s="110">
        <f>E41+E42+E43</f>
        <v/>
      </c>
      <c r="F44" s="110">
        <f>F41+F42+F43</f>
        <v/>
      </c>
      <c r="G44" s="110">
        <f>G41+G42+G43</f>
        <v/>
      </c>
      <c r="H44" s="110">
        <f>H41+H42+H43</f>
        <v/>
      </c>
      <c r="I44" s="110">
        <f>I41+I42+I43</f>
        <v/>
      </c>
      <c r="J44" s="110">
        <f>J41+J42+J43</f>
        <v/>
      </c>
      <c r="K44" s="110">
        <f>K41+K42+K43</f>
        <v/>
      </c>
      <c r="L44" s="110">
        <f>L41+L42+L43</f>
        <v/>
      </c>
      <c r="M44" s="110">
        <f>M41+M42+M43</f>
        <v/>
      </c>
      <c r="N44" s="110">
        <f>N41+N42+N43</f>
        <v/>
      </c>
      <c r="O44" s="110">
        <f>O41+O42+O43</f>
        <v/>
      </c>
      <c r="P44" s="110">
        <f>P41+P42+P43</f>
        <v/>
      </c>
      <c r="Q44" s="110">
        <f>Q41+Q42+Q43</f>
        <v/>
      </c>
      <c r="R44" s="110">
        <f>R41+R42+R43</f>
        <v/>
      </c>
      <c r="S44" s="110">
        <f>S41+S42+S43</f>
        <v/>
      </c>
      <c r="T44" s="110">
        <f>T41+T42+T43</f>
        <v/>
      </c>
      <c r="U44" s="110">
        <f>U41+U42+U43</f>
        <v/>
      </c>
      <c r="V44" s="110">
        <f>V41+V42+V43</f>
        <v/>
      </c>
      <c r="W44" s="110">
        <f>W41+W42+W43</f>
        <v/>
      </c>
      <c r="X44" s="110">
        <f>X41+X42+X43</f>
        <v/>
      </c>
      <c r="Y44" s="110">
        <f>Y41+Y42+Y43</f>
        <v/>
      </c>
      <c r="Z44" s="110">
        <f>Z41+Z42+Z43</f>
        <v/>
      </c>
      <c r="AA44" s="110">
        <f>AA41+AA42+AA43</f>
        <v/>
      </c>
      <c r="AB44" s="110">
        <f>AB41+AB42+AB43</f>
        <v/>
      </c>
      <c r="AC44" s="110">
        <f>AC41+AC42+AC43</f>
        <v/>
      </c>
      <c r="AD44" s="110">
        <f>AD41+AD42+AD43</f>
        <v/>
      </c>
      <c r="AE44" s="110">
        <f>AE41+AE42+AE43</f>
        <v/>
      </c>
      <c r="AF44" s="110">
        <f>AF41+AF42+AF43</f>
        <v/>
      </c>
      <c r="AG44" s="110">
        <f>AG41+AG42+AG43</f>
        <v/>
      </c>
      <c r="AH44" s="110">
        <f>AH41+AH42+AH43</f>
        <v/>
      </c>
      <c r="AI44" s="110">
        <f>AI41+AI42+AI43</f>
        <v/>
      </c>
      <c r="AJ44" s="110">
        <f>AJ41+AJ42+AJ43</f>
        <v/>
      </c>
      <c r="AK44" s="110">
        <f>AK41+AK42+AK43</f>
        <v/>
      </c>
      <c r="AL44" s="110">
        <f>AL41+AL42+AL43</f>
        <v/>
      </c>
      <c r="AM44" s="110">
        <f>AM41+AM42+AM43</f>
        <v/>
      </c>
      <c r="AN44" s="110">
        <f>AN41+AN42+AN43</f>
        <v/>
      </c>
      <c r="AO44" s="110">
        <f>AO41+AO42+AO43</f>
        <v/>
      </c>
      <c r="AP44" s="110">
        <f>AP41+AP42+AP43</f>
        <v/>
      </c>
      <c r="AQ44" s="110">
        <f>AQ41+AQ42+AQ43</f>
        <v/>
      </c>
      <c r="AR44" s="110">
        <f>AR41+AR42+AR43</f>
        <v/>
      </c>
      <c r="AS44" s="110">
        <f>AS41+AS42+AS43</f>
        <v/>
      </c>
      <c r="AT44" s="110">
        <f>AT41+AT42+AT43</f>
        <v/>
      </c>
      <c r="AU44" s="110">
        <f>AU41+AU42+AU43</f>
        <v/>
      </c>
      <c r="AV44" s="110">
        <f>AV41+AV42+AV43</f>
        <v/>
      </c>
      <c r="AW44" s="110">
        <f>AW41+AW42+AW43</f>
        <v/>
      </c>
      <c r="AX44" s="110">
        <f>AX41+AX42+AX43</f>
        <v/>
      </c>
      <c r="AY44" s="110">
        <f>AY41+AY42+AY43</f>
        <v/>
      </c>
      <c r="AZ44" s="110">
        <f>AZ41+AZ42+AZ43</f>
        <v/>
      </c>
      <c r="BA44" s="110">
        <f>BA41+BA42+BA43</f>
        <v/>
      </c>
      <c r="BB44" s="110">
        <f>BB41+BB42+BB43</f>
        <v/>
      </c>
      <c r="BC44" s="110">
        <f>BC41+BC42+BC43</f>
        <v/>
      </c>
      <c r="BD44" s="110">
        <f>BD41+BD42+BD43</f>
        <v/>
      </c>
    </row>
    <row r="45" ht="18" customHeight="1">
      <c r="A45" s="98" t="inlineStr">
        <is>
          <t>F</t>
        </is>
      </c>
      <c r="B45" s="69" t="inlineStr">
        <is>
          <t>GAP / SURPLUS  (Supply − Target)</t>
        </is>
      </c>
      <c r="C45" s="111" t="inlineStr">
        <is>
          <t>All</t>
        </is>
      </c>
      <c r="D45" s="112">
        <f> Row E − Row A</f>
        <v/>
      </c>
      <c r="E45" s="67">
        <f>IF(E40&gt;0,E44-E40,"")</f>
        <v/>
      </c>
      <c r="F45" s="67">
        <f>IF(F40&gt;0,F44-F40,"")</f>
        <v/>
      </c>
      <c r="G45" s="67">
        <f>IF(G40&gt;0,G44-G40,"")</f>
        <v/>
      </c>
      <c r="H45" s="67">
        <f>IF(H40&gt;0,H44-H40,"")</f>
        <v/>
      </c>
      <c r="I45" s="67">
        <f>IF(I40&gt;0,I44-I40,"")</f>
        <v/>
      </c>
      <c r="J45" s="67">
        <f>IF(J40&gt;0,J44-J40,"")</f>
        <v/>
      </c>
      <c r="K45" s="67">
        <f>IF(K40&gt;0,K44-K40,"")</f>
        <v/>
      </c>
      <c r="L45" s="67">
        <f>IF(L40&gt;0,L44-L40,"")</f>
        <v/>
      </c>
      <c r="M45" s="67">
        <f>IF(M40&gt;0,M44-M40,"")</f>
        <v/>
      </c>
      <c r="N45" s="67">
        <f>IF(N40&gt;0,N44-N40,"")</f>
        <v/>
      </c>
      <c r="O45" s="67">
        <f>IF(O40&gt;0,O44-O40,"")</f>
        <v/>
      </c>
      <c r="P45" s="67">
        <f>IF(P40&gt;0,P44-P40,"")</f>
        <v/>
      </c>
      <c r="Q45" s="67">
        <f>IF(Q40&gt;0,Q44-Q40,"")</f>
        <v/>
      </c>
      <c r="R45" s="67">
        <f>IF(R40&gt;0,R44-R40,"")</f>
        <v/>
      </c>
      <c r="S45" s="67">
        <f>IF(S40&gt;0,S44-S40,"")</f>
        <v/>
      </c>
      <c r="T45" s="67">
        <f>IF(T40&gt;0,T44-T40,"")</f>
        <v/>
      </c>
      <c r="U45" s="67">
        <f>IF(U40&gt;0,U44-U40,"")</f>
        <v/>
      </c>
      <c r="V45" s="67">
        <f>IF(V40&gt;0,V44-V40,"")</f>
        <v/>
      </c>
      <c r="W45" s="67">
        <f>IF(W40&gt;0,W44-W40,"")</f>
        <v/>
      </c>
      <c r="X45" s="67">
        <f>IF(X40&gt;0,X44-X40,"")</f>
        <v/>
      </c>
      <c r="Y45" s="67">
        <f>IF(Y40&gt;0,Y44-Y40,"")</f>
        <v/>
      </c>
      <c r="Z45" s="67">
        <f>IF(Z40&gt;0,Z44-Z40,"")</f>
        <v/>
      </c>
      <c r="AA45" s="67">
        <f>IF(AA40&gt;0,AA44-AA40,"")</f>
        <v/>
      </c>
      <c r="AB45" s="67">
        <f>IF(AB40&gt;0,AB44-AB40,"")</f>
        <v/>
      </c>
      <c r="AC45" s="67">
        <f>IF(AC40&gt;0,AC44-AC40,"")</f>
        <v/>
      </c>
      <c r="AD45" s="67">
        <f>IF(AD40&gt;0,AD44-AD40,"")</f>
        <v/>
      </c>
      <c r="AE45" s="67">
        <f>IF(AE40&gt;0,AE44-AE40,"")</f>
        <v/>
      </c>
      <c r="AF45" s="67">
        <f>IF(AF40&gt;0,AF44-AF40,"")</f>
        <v/>
      </c>
      <c r="AG45" s="67">
        <f>IF(AG40&gt;0,AG44-AG40,"")</f>
        <v/>
      </c>
      <c r="AH45" s="67">
        <f>IF(AH40&gt;0,AH44-AH40,"")</f>
        <v/>
      </c>
      <c r="AI45" s="67">
        <f>IF(AI40&gt;0,AI44-AI40,"")</f>
        <v/>
      </c>
      <c r="AJ45" s="67">
        <f>IF(AJ40&gt;0,AJ44-AJ40,"")</f>
        <v/>
      </c>
      <c r="AK45" s="67">
        <f>IF(AK40&gt;0,AK44-AK40,"")</f>
        <v/>
      </c>
      <c r="AL45" s="67">
        <f>IF(AL40&gt;0,AL44-AL40,"")</f>
        <v/>
      </c>
      <c r="AM45" s="67">
        <f>IF(AM40&gt;0,AM44-AM40,"")</f>
        <v/>
      </c>
      <c r="AN45" s="67">
        <f>IF(AN40&gt;0,AN44-AN40,"")</f>
        <v/>
      </c>
      <c r="AO45" s="67">
        <f>IF(AO40&gt;0,AO44-AO40,"")</f>
        <v/>
      </c>
      <c r="AP45" s="67">
        <f>IF(AP40&gt;0,AP44-AP40,"")</f>
        <v/>
      </c>
      <c r="AQ45" s="67">
        <f>IF(AQ40&gt;0,AQ44-AQ40,"")</f>
        <v/>
      </c>
      <c r="AR45" s="67">
        <f>IF(AR40&gt;0,AR44-AR40,"")</f>
        <v/>
      </c>
      <c r="AS45" s="67">
        <f>IF(AS40&gt;0,AS44-AS40,"")</f>
        <v/>
      </c>
      <c r="AT45" s="67">
        <f>IF(AT40&gt;0,AT44-AT40,"")</f>
        <v/>
      </c>
      <c r="AU45" s="67">
        <f>IF(AU40&gt;0,AU44-AU40,"")</f>
        <v/>
      </c>
      <c r="AV45" s="67">
        <f>IF(AV40&gt;0,AV44-AV40,"")</f>
        <v/>
      </c>
      <c r="AW45" s="67">
        <f>IF(AW40&gt;0,AW44-AW40,"")</f>
        <v/>
      </c>
      <c r="AX45" s="67">
        <f>IF(AX40&gt;0,AX44-AX40,"")</f>
        <v/>
      </c>
      <c r="AY45" s="67">
        <f>IF(AY40&gt;0,AY44-AY40,"")</f>
        <v/>
      </c>
      <c r="AZ45" s="67">
        <f>IF(AZ40&gt;0,AZ44-AZ40,"")</f>
        <v/>
      </c>
      <c r="BA45" s="67">
        <f>IF(BA40&gt;0,BA44-BA40,"")</f>
        <v/>
      </c>
      <c r="BB45" s="67">
        <f>IF(BB40&gt;0,BB44-BB40,"")</f>
        <v/>
      </c>
      <c r="BC45" s="67">
        <f>IF(BC40&gt;0,BC44-BC40,"")</f>
        <v/>
      </c>
      <c r="BD45" s="67">
        <f>IF(BD40&gt;0,BD44-BD40,"")</f>
        <v/>
      </c>
    </row>
  </sheetData>
  <mergeCells count="41">
    <mergeCell ref="A24:B24"/>
    <mergeCell ref="C24:D24"/>
    <mergeCell ref="A27:D33"/>
    <mergeCell ref="A11:B11"/>
    <mergeCell ref="C20:D20"/>
    <mergeCell ref="A14"/>
    <mergeCell ref="A16:B16"/>
    <mergeCell ref="C10:D10"/>
    <mergeCell ref="A7:B7"/>
    <mergeCell ref="A25:B25"/>
    <mergeCell ref="A34:D34"/>
    <mergeCell ref="C25:D25"/>
    <mergeCell ref="C22:D22"/>
    <mergeCell ref="C9:D9"/>
    <mergeCell ref="A18:B18"/>
    <mergeCell ref="A36:BD36"/>
    <mergeCell ref="A1:BD1"/>
    <mergeCell ref="A3:B3"/>
    <mergeCell ref="A12:B12"/>
    <mergeCell ref="A21:B21"/>
    <mergeCell ref="C21:D21"/>
    <mergeCell ref="A23:B23"/>
    <mergeCell ref="A17:B17"/>
    <mergeCell ref="A8:B8"/>
    <mergeCell ref="B14"/>
    <mergeCell ref="C17:D17"/>
    <mergeCell ref="A22:B22"/>
    <mergeCell ref="C8:D8"/>
    <mergeCell ref="C23:D23"/>
    <mergeCell ref="A37:BD37"/>
    <mergeCell ref="A20:B20"/>
    <mergeCell ref="C7:D7"/>
    <mergeCell ref="A19:B19"/>
    <mergeCell ref="A10:B10"/>
    <mergeCell ref="C19:D19"/>
    <mergeCell ref="A2:BD2"/>
    <mergeCell ref="A13:B13"/>
    <mergeCell ref="E38:BD38"/>
    <mergeCell ref="C18:D18"/>
    <mergeCell ref="A9:B9"/>
    <mergeCell ref="C3:D3"/>
  </mergeCells>
  <conditionalFormatting sqref="E45:BD45">
    <cfRule type="cellIs" priority="1" operator="lessThan" dxfId="3">
      <formula>0</formula>
    </cfRule>
    <cfRule type="cellIs" priority="2" operator="greaterThan" dxfId="2">
      <formula>0</formula>
    </cfRule>
    <cfRule type="expression" priority="3" dxfId="4">
      <formula>AND(E45&gt;0,E45/E40&gt;0.05)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2" customWidth="1" min="2" max="2"/>
    <col width="65" customWidth="1" min="3" max="3"/>
    <col width="22" customWidth="1" min="4" max="4"/>
  </cols>
  <sheetData>
    <row r="1" ht="26" customHeight="1">
      <c r="A1" s="1" t="inlineStr">
        <is>
          <t>AWP Breeding Pyramid — Global Parameters (Params Sheet)</t>
        </is>
      </c>
    </row>
    <row r="2" ht="13" customHeight="1">
      <c r="A2" s="3" t="inlineStr">
        <is>
          <t>[AR: TBD — ورقة المعاملات العالمية]</t>
        </is>
      </c>
    </row>
    <row r="3" ht="16" customHeight="1">
      <c r="A3" s="4" t="inlineStr">
        <is>
          <t>Named Range / Formula Key</t>
        </is>
      </c>
      <c r="B3" s="4" t="inlineStr">
        <is>
          <t>Value</t>
        </is>
      </c>
      <c r="C3" s="4" t="inlineStr">
        <is>
          <t>Description / Notes</t>
        </is>
      </c>
      <c r="D3" s="4" t="inlineStr">
        <is>
          <t>Status</t>
        </is>
      </c>
    </row>
    <row r="4" ht="15" customHeight="1">
      <c r="A4" s="113" t="inlineStr">
        <is>
          <t>── PLAN SETTINGS ──</t>
        </is>
      </c>
    </row>
    <row r="5" ht="15" customHeight="1">
      <c r="A5" s="114" t="inlineStr">
        <is>
          <t>param_PlanStartDate</t>
        </is>
      </c>
      <c r="B5" s="10" t="n">
        <v>46252</v>
      </c>
      <c r="C5" s="115" t="inlineStr">
        <is>
          <t>Date of Week 1 Monday – update before use</t>
        </is>
      </c>
      <c r="D5" s="116" t="inlineStr">
        <is>
          <t>✓ Active</t>
        </is>
      </c>
    </row>
    <row r="6" ht="15" customHeight="1">
      <c r="A6" s="114" t="inlineStr">
        <is>
          <t>param_PlanningWeeks</t>
        </is>
      </c>
      <c r="B6" s="117" t="n">
        <v>52</v>
      </c>
      <c r="C6" s="115" t="inlineStr">
        <is>
          <t>52 = 1 year  |  104 = 2 years</t>
        </is>
      </c>
      <c r="D6" s="116" t="inlineStr">
        <is>
          <t>✓ Active</t>
        </is>
      </c>
    </row>
    <row r="7" ht="15" customHeight="1">
      <c r="A7" s="114" t="inlineStr">
        <is>
          <t>param_UseLineDetail</t>
        </is>
      </c>
      <c r="B7" s="117" t="inlineStr">
        <is>
          <t>YES</t>
        </is>
      </c>
      <c r="C7" s="115" t="inlineStr">
        <is>
          <t>YES → plan by F-D/M-C/F-B/M-A lines;  NO → single aggregate entry</t>
        </is>
      </c>
      <c r="D7" s="116" t="inlineStr">
        <is>
          <t>✓ Active</t>
        </is>
      </c>
    </row>
    <row r="8" ht="15" customHeight="1">
      <c r="A8" s="113" t="inlineStr">
        <is>
          <t>── GP TIER — COBB-500 ──</t>
        </is>
      </c>
    </row>
    <row r="9" ht="15" customHeight="1">
      <c r="A9" s="114" t="inlineStr">
        <is>
          <t>param_GP_RearingWeeks</t>
        </is>
      </c>
      <c r="B9" s="117" t="n">
        <v>20</v>
      </c>
      <c r="C9" s="115" t="inlineStr">
        <is>
          <t>⚠ AWP to confirm exact rearing grow-out period</t>
        </is>
      </c>
      <c r="D9" s="62" t="inlineStr">
        <is>
          <t>⚠ Pending</t>
        </is>
      </c>
    </row>
    <row r="10" ht="15" customHeight="1">
      <c r="A10" s="114" t="inlineStr">
        <is>
          <t>param_GP_PreLayWeeks</t>
        </is>
      </c>
      <c r="B10" s="117" t="n">
        <v>5</v>
      </c>
      <c r="C10" s="115" t="inlineStr">
        <is>
          <t>⚠ AWP to confirm (rearing end → lay start)</t>
        </is>
      </c>
      <c r="D10" s="62" t="inlineStr">
        <is>
          <t>⚠ Pending</t>
        </is>
      </c>
    </row>
    <row r="11" ht="15" customHeight="1">
      <c r="A11" s="114" t="inlineStr">
        <is>
          <t>param_GP_LayingWeeks</t>
        </is>
      </c>
      <c r="B11" s="117" t="n">
        <v>35</v>
      </c>
      <c r="C11" s="115" t="inlineStr">
        <is>
          <t>⚠ AWP to confirm (lay start → depopulation)</t>
        </is>
      </c>
      <c r="D11" s="62" t="inlineStr">
        <is>
          <t>⚠ Pending</t>
        </is>
      </c>
    </row>
    <row r="12" ht="15" customHeight="1">
      <c r="A12" s="114" t="inlineStr">
        <is>
          <t>param_GP_RearingMortality</t>
        </is>
      </c>
      <c r="B12" s="118" t="n">
        <v>0.03</v>
      </c>
      <c r="C12" s="115" t="inlineStr">
        <is>
          <t>⚠ AWP to confirm  |  fraction 0–1</t>
        </is>
      </c>
      <c r="D12" s="62" t="inlineStr">
        <is>
          <t>⚠ Pending</t>
        </is>
      </c>
    </row>
    <row r="13" ht="15" customHeight="1">
      <c r="A13" s="114" t="inlineStr">
        <is>
          <t>param_GP_PreLayMortality</t>
        </is>
      </c>
      <c r="B13" s="118" t="n">
        <v>0.01</v>
      </c>
      <c r="C13" s="115" t="inlineStr">
        <is>
          <t>⚠ AWP to confirm  |  fraction 0–1</t>
        </is>
      </c>
      <c r="D13" s="62" t="inlineStr">
        <is>
          <t>⚠ Pending</t>
        </is>
      </c>
    </row>
    <row r="14" ht="15" customHeight="1">
      <c r="A14" s="114" t="inlineStr">
        <is>
          <t>param_GP_LayMortWeekly</t>
        </is>
      </c>
      <c r="B14" s="118" t="n">
        <v>0.005</v>
      </c>
      <c r="C14" s="115" t="inlineStr">
        <is>
          <t>⚠ AWP to confirm  |  fraction per week</t>
        </is>
      </c>
      <c r="D14" s="62" t="inlineStr">
        <is>
          <t>⚠ Pending</t>
        </is>
      </c>
    </row>
    <row r="15" ht="15" customHeight="1">
      <c r="A15" s="114" t="inlineStr">
        <is>
          <t>param_GP_HDP</t>
        </is>
      </c>
      <c r="B15" s="117" t="n">
        <v>60</v>
      </c>
      <c r="C15" s="115" t="inlineStr">
        <is>
          <t>⚠ AWP to confirm  |  eggs per 100 hens per day</t>
        </is>
      </c>
      <c r="D15" s="62" t="inlineStr">
        <is>
          <t>⚠ Pending</t>
        </is>
      </c>
    </row>
    <row r="16" ht="15" customHeight="1">
      <c r="A16" s="114" t="inlineStr">
        <is>
          <t>param_GP_SettableRatio</t>
        </is>
      </c>
      <c r="B16" s="118" t="n">
        <v>0.9</v>
      </c>
      <c r="C16" s="115" t="inlineStr">
        <is>
          <t>⚠ AWP to confirm  |  fraction of total GP eggs that are hatchable quality</t>
        </is>
      </c>
      <c r="D16" s="62" t="inlineStr">
        <is>
          <t>⚠ Pending</t>
        </is>
      </c>
    </row>
    <row r="17" ht="15" customHeight="1">
      <c r="A17" s="114" t="inlineStr">
        <is>
          <t>param_GP_HatchRate</t>
        </is>
      </c>
      <c r="B17" s="118" t="n">
        <v>0.82</v>
      </c>
      <c r="C17" s="115" t="inlineStr">
        <is>
          <t>⚠ AWP to confirm  |  fraction of set GP eggs that produce live DOC</t>
        </is>
      </c>
      <c r="D17" s="62" t="inlineStr">
        <is>
          <t>⚠ Pending</t>
        </is>
      </c>
    </row>
    <row r="18" ht="15" customHeight="1">
      <c r="A18" s="114" t="inlineStr">
        <is>
          <t>param_GP_MaleByproductPct</t>
        </is>
      </c>
      <c r="B18" s="118" t="n">
        <v>0.45</v>
      </c>
      <c r="C18" s="115" t="inlineStr">
        <is>
          <t>⚠ AWP to confirm  |  % of total GP hatch going to byproduct broiler DOC (surplus males); remainder → PS DOC</t>
        </is>
      </c>
      <c r="D18" s="62" t="inlineStr">
        <is>
          <t>⚠ Pending</t>
        </is>
      </c>
    </row>
    <row r="19" ht="15" customHeight="1">
      <c r="A19" s="114" t="inlineStr">
        <is>
          <t>param_GPHatchery_Capacity</t>
        </is>
      </c>
      <c r="B19" s="11" t="n">
        <v>500000</v>
      </c>
      <c r="C19" s="115" t="inlineStr">
        <is>
          <t>⚠ AWP to confirm  |  max eggs per week across all setter machines</t>
        </is>
      </c>
      <c r="D19" s="62" t="inlineStr">
        <is>
          <t>⚠ Pending</t>
        </is>
      </c>
    </row>
    <row r="20" ht="15" customHeight="1">
      <c r="A20" s="113" t="inlineStr">
        <is>
          <t>── PS TIER — REARING (Plant 1230) ──</t>
        </is>
      </c>
    </row>
    <row r="21" ht="15" customHeight="1">
      <c r="A21" s="114" t="inlineStr">
        <is>
          <t>param_PS_RearingWeeks</t>
        </is>
      </c>
      <c r="B21" s="119" t="n">
        <v>19</v>
      </c>
      <c r="C21" s="115" t="inlineStr">
        <is>
          <t>CONFIRMED: 0→19 WK at Plant 1230</t>
        </is>
      </c>
      <c r="D21" s="120" t="inlineStr">
        <is>
          <t>🔒 Locked</t>
        </is>
      </c>
    </row>
    <row r="22" ht="15" customHeight="1">
      <c r="A22" s="114" t="inlineStr">
        <is>
          <t>param_PS_PreLayWeeks</t>
        </is>
      </c>
      <c r="B22" s="119" t="n">
        <v>5</v>
      </c>
      <c r="C22" s="115" t="inlineStr">
        <is>
          <t>CONFIRMED: 19→24 WK (transfer 1230→1220)</t>
        </is>
      </c>
      <c r="D22" s="120" t="inlineStr">
        <is>
          <t>🔒 Locked</t>
        </is>
      </c>
    </row>
    <row r="23" ht="15" customHeight="1">
      <c r="A23" s="114" t="inlineStr">
        <is>
          <t>param_PS_LayingWeeks</t>
        </is>
      </c>
      <c r="B23" s="119" t="n">
        <v>40</v>
      </c>
      <c r="C23" s="115" t="inlineStr">
        <is>
          <t>CONFIRMED: 24→64 WK at Plant 1220</t>
        </is>
      </c>
      <c r="D23" s="120" t="inlineStr">
        <is>
          <t>🔒 Locked</t>
        </is>
      </c>
    </row>
    <row r="24" ht="15" customHeight="1">
      <c r="A24" s="114" t="inlineStr">
        <is>
          <t>param_PS_RearingMortality</t>
        </is>
      </c>
      <c r="B24" s="118" t="n">
        <v>0.03</v>
      </c>
      <c r="C24" s="115" t="inlineStr">
        <is>
          <t>⚠ AWP to confirm  |  fraction 0–1</t>
        </is>
      </c>
      <c r="D24" s="62" t="inlineStr">
        <is>
          <t>⚠ Pending</t>
        </is>
      </c>
    </row>
    <row r="25" ht="15" customHeight="1">
      <c r="A25" s="114" t="inlineStr">
        <is>
          <t>param_PS_PreLayMortality</t>
        </is>
      </c>
      <c r="B25" s="118" t="n">
        <v>0.01</v>
      </c>
      <c r="C25" s="115" t="inlineStr">
        <is>
          <t>⚠ AWP to confirm  |  fraction 0–1</t>
        </is>
      </c>
      <c r="D25" s="62" t="inlineStr">
        <is>
          <t>⚠ Pending</t>
        </is>
      </c>
    </row>
    <row r="26" ht="15" customHeight="1">
      <c r="A26" s="114" t="inlineStr">
        <is>
          <t>param_PS_LayMortWeekly</t>
        </is>
      </c>
      <c r="B26" s="118" t="n">
        <v>0.005</v>
      </c>
      <c r="C26" s="115" t="inlineStr">
        <is>
          <t>⚠ AWP to confirm  |  fraction per week</t>
        </is>
      </c>
      <c r="D26" s="62" t="inlineStr">
        <is>
          <t>⚠ Pending</t>
        </is>
      </c>
    </row>
    <row r="27" ht="15" customHeight="1">
      <c r="A27" s="114" t="inlineStr">
        <is>
          <t>param_Plant1230_Capacity</t>
        </is>
      </c>
      <c r="B27" s="11" t="n">
        <v>500000</v>
      </c>
      <c r="C27" s="115" t="inlineStr">
        <is>
          <t>⚠ AWP to confirm  |  max PS birds in rearing simultaneously</t>
        </is>
      </c>
      <c r="D27" s="62" t="inlineStr">
        <is>
          <t>⚠ Pending</t>
        </is>
      </c>
    </row>
    <row r="28" ht="15" customHeight="1">
      <c r="A28" s="114" t="inlineStr">
        <is>
          <t>param_Plant1220_Capacity</t>
        </is>
      </c>
      <c r="B28" s="11" t="n">
        <v>600000</v>
      </c>
      <c r="C28" s="115" t="inlineStr">
        <is>
          <t>⚠ AWP to confirm  |  max PS hens in lay simultaneously</t>
        </is>
      </c>
      <c r="D28" s="62" t="inlineStr">
        <is>
          <t>⚠ Pending</t>
        </is>
      </c>
    </row>
    <row r="29" ht="15" customHeight="1">
      <c r="A29" s="113" t="inlineStr">
        <is>
          <t>── COBB PS HATCHERY ──</t>
        </is>
      </c>
    </row>
    <row r="30" ht="15" customHeight="1">
      <c r="A30" s="114" t="inlineStr">
        <is>
          <t>param_PS_CobbHDP</t>
        </is>
      </c>
      <c r="B30" s="117" t="n">
        <v>65</v>
      </c>
      <c r="C30" s="115" t="inlineStr">
        <is>
          <t>⚠ AWP to confirm  |  eggs per 100 hens per day</t>
        </is>
      </c>
      <c r="D30" s="62" t="inlineStr">
        <is>
          <t>⚠ Pending</t>
        </is>
      </c>
    </row>
    <row r="31" ht="15" customHeight="1">
      <c r="A31" s="114" t="inlineStr">
        <is>
          <t>param_PS_CobbSettableRatio</t>
        </is>
      </c>
      <c r="B31" s="118" t="n">
        <v>0.9</v>
      </c>
      <c r="C31" s="115" t="inlineStr">
        <is>
          <t>⚠ AWP to confirm  |  fraction</t>
        </is>
      </c>
      <c r="D31" s="62" t="inlineStr">
        <is>
          <t>⚠ Pending</t>
        </is>
      </c>
    </row>
    <row r="32" ht="15" customHeight="1">
      <c r="A32" s="114" t="inlineStr">
        <is>
          <t>param_PS_CobbHatchRate</t>
        </is>
      </c>
      <c r="B32" s="118" t="n">
        <v>0.85</v>
      </c>
      <c r="C32" s="115" t="inlineStr">
        <is>
          <t>⚠ AWP to confirm  |  fraction of graded set eggs → broiler DOC</t>
        </is>
      </c>
      <c r="D32" s="62" t="inlineStr">
        <is>
          <t>⚠ Pending</t>
        </is>
      </c>
    </row>
    <row r="33" ht="15" customHeight="1">
      <c r="A33" s="113" t="inlineStr">
        <is>
          <t>── ROSS PS HATCHERY ──</t>
        </is>
      </c>
    </row>
    <row r="34" ht="15" customHeight="1">
      <c r="A34" s="114" t="inlineStr">
        <is>
          <t>param_PS_RossHDP</t>
        </is>
      </c>
      <c r="B34" s="117" t="n">
        <v>65</v>
      </c>
      <c r="C34" s="115" t="inlineStr">
        <is>
          <t>⚠ AWP to confirm  |  eggs per 100 hens per day</t>
        </is>
      </c>
      <c r="D34" s="62" t="inlineStr">
        <is>
          <t>⚠ Pending</t>
        </is>
      </c>
    </row>
    <row r="35" ht="15" customHeight="1">
      <c r="A35" s="114" t="inlineStr">
        <is>
          <t>param_PS_RossSettableRatio</t>
        </is>
      </c>
      <c r="B35" s="118" t="n">
        <v>0.9</v>
      </c>
      <c r="C35" s="115" t="inlineStr">
        <is>
          <t>⚠ AWP to confirm  |  fraction</t>
        </is>
      </c>
      <c r="D35" s="62" t="inlineStr">
        <is>
          <t>⚠ Pending</t>
        </is>
      </c>
    </row>
    <row r="36" ht="15" customHeight="1">
      <c r="A36" s="114" t="inlineStr">
        <is>
          <t>param_PS_RossHatchRate</t>
        </is>
      </c>
      <c r="B36" s="118" t="n">
        <v>0.85</v>
      </c>
      <c r="C36" s="115" t="inlineStr">
        <is>
          <t>⚠ AWP to confirm  |  fraction of set eggs → broiler DOC</t>
        </is>
      </c>
      <c r="D36" s="62" t="inlineStr">
        <is>
          <t>⚠ Pending</t>
        </is>
      </c>
    </row>
    <row r="37" ht="15" customHeight="1">
      <c r="A37" s="114" t="inlineStr">
        <is>
          <t>param_RossPO_LeadWeeks</t>
        </is>
      </c>
      <c r="B37" s="119" t="n">
        <v>52</v>
      </c>
      <c r="C37" s="115" t="inlineStr">
        <is>
          <t>LOCKED — PO must be placed 52 weeks before DOC arrival at Plant 1230</t>
        </is>
      </c>
      <c r="D37" s="120" t="inlineStr">
        <is>
          <t>🔒 Locked</t>
        </is>
      </c>
    </row>
    <row r="38" ht="15" customHeight="1">
      <c r="A38" s="113" t="inlineStr">
        <is>
          <t>── SHARED HATCHERY / INCUBATION ──</t>
        </is>
      </c>
    </row>
    <row r="39" ht="15" customHeight="1">
      <c r="A39" s="114" t="inlineStr">
        <is>
          <t>param_IncubationDays</t>
        </is>
      </c>
      <c r="B39" s="119" t="n">
        <v>21</v>
      </c>
      <c r="C39" s="115" t="inlineStr">
        <is>
          <t>LOCKED — 21 days = 3 weeks (both GP and PS hatcheries)</t>
        </is>
      </c>
      <c r="D39" s="120" t="inlineStr">
        <is>
          <t>🔒 Locked</t>
        </is>
      </c>
    </row>
    <row r="40" ht="15" customHeight="1">
      <c r="A40" s="114" t="inlineStr">
        <is>
          <t>param_PSHatchery_Capacity</t>
        </is>
      </c>
      <c r="B40" s="11" t="n">
        <v>1500000</v>
      </c>
      <c r="C40" s="115" t="inlineStr">
        <is>
          <t>⚠ AWP to confirm  |  combined Cobb + Ross capacity</t>
        </is>
      </c>
      <c r="D40" s="62" t="inlineStr">
        <is>
          <t>⚠ Pending</t>
        </is>
      </c>
    </row>
  </sheetData>
  <mergeCells count="8">
    <mergeCell ref="A1:D1"/>
    <mergeCell ref="A8:D8"/>
    <mergeCell ref="A4:D4"/>
    <mergeCell ref="A20:D20"/>
    <mergeCell ref="A38:D38"/>
    <mergeCell ref="A29:D29"/>
    <mergeCell ref="A2:D2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2026-08-17T15:16:21Z</dcterms:created>
  <dcterms:modified xmlns:dcterms="http://purl.org/dc/terms/" xmlns:xsi="http://www.w3.org/2001/XMLSchema-instance" xsi:type="dcterms:W3CDTF">2026-08-17T15:16:21Z</dcterms:modified>
</cp:coreProperties>
</file>